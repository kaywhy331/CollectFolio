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cef23bf29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46cd4442553429b"/>
    <x:sheet xmlns:r="http://schemas.openxmlformats.org/officeDocument/2006/relationships" name="Resolution Matrix" sheetId="2" r:id="R8ec66ef6bcf64ab7"/>
    <x:sheet xmlns:r="http://schemas.openxmlformats.org/officeDocument/2006/relationships" name="Regression" sheetId="3" r:id="R880905fb48ec42aa"/>
    <x:sheet xmlns:r="http://schemas.openxmlformats.org/officeDocument/2006/relationships" name="Model Rows" sheetId="4" r:id="Rc5d1d8f6077c43d6"/>
    <x:sheet xmlns:r="http://schemas.openxmlformats.org/officeDocument/2006/relationships" name="Pull Inputs" sheetId="5" r:id="R338ee5d4de5346f2"/>
    <x:sheet xmlns:r="http://schemas.openxmlformats.org/officeDocument/2006/relationships" name="Character Premium" sheetId="6" r:id="Re8d009b6c2d54100"/>
    <x:sheet xmlns:r="http://schemas.openxmlformats.org/officeDocument/2006/relationships" name="Price-Date Forensics" sheetId="7" r:id="Ree8618ad124b47b6"/>
    <x:sheet xmlns:r="http://schemas.openxmlformats.org/officeDocument/2006/relationships" name="Canonical Spec" sheetId="8" r:id="R1dce2ab71d9942ef"/>
    <x:sheet xmlns:r="http://schemas.openxmlformats.org/officeDocument/2006/relationships" name="Sources" sheetId="9" r:id="Ref865932aea2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00000"/>
    <x:numFmt numFmtId="201" formatCode="0.0%;[Red](0.0%);-"/>
    <x:numFmt numFmtId="202" formatCode="$#,##0;[Red]($#,##0);-"/>
    <x:numFmt numFmtId="203" formatCode="0.0"/>
    <x:numFmt numFmtId="204" formatCode="0.0000"/>
    <x:numFmt numFmtId="205" formatCode="$#,##0.00;[Red]($#,##0.00);-"/>
    <x:numFmt numFmtId="206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710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1"/>
      <x:color rgb="FF136F58"/>
      <x:name val="Carlito"/>
    </x:font>
    <x:font>
      <x:sz val="11"/>
      <x:color rgb="FF000000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7101F"/>
      </x:patternFill>
    </x:fill>
    <x:fill>
      <x:patternFill patternType="solid">
        <x:fgColor rgb="FFE9F2FF"/>
      </x:patternFill>
    </x:fill>
    <x:fill>
      <x:patternFill patternType="solid">
        <x:fgColor rgb="FF136F58"/>
      </x:patternFill>
    </x:fill>
    <x:fill>
      <x:patternFill patternType="solid">
        <x:fgColor rgb="FF101C2E"/>
      </x:patternFill>
    </x:fill>
    <x:fill>
      <x:patternFill patternType="solid">
        <x:fgColor rgb="FFDDF7ED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</x:fills>
  <x:borders count="2">
    <x:border/>
    <x:border/>
  </x:borders>
  <x:cellStyleXfs count="1">
    <x:xf numFmtId="0" fontId="0" fillId="0" borderId="0"/>
  </x:cellStyleXfs>
  <x:cellXfs count="1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3" fontId="5" fillId="0" borderId="0" xfId="0" applyNumberFormat="1" applyFont="1" applyFill="1" applyBorder="1"/>
    <x:xf numFmtId="203" fontId="7" fillId="0" borderId="0" xfId="0" applyNumberFormat="1" applyFont="1" applyFill="1" applyBorder="1"/>
    <x:xf numFmtId="203" fontId="5" fillId="0" borderId="1" xfId="0" applyNumberFormat="1" applyFont="1" applyFill="1" applyBorder="1"/>
    <x:xf numFmtId="203" fontId="7" fillId="0" borderId="1" xfId="0" applyNumberFormat="1" applyFont="1" applyFill="1" applyBorder="1"/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205" fontId="7" fillId="0" borderId="0" xfId="0" applyNumberFormat="1" applyFont="1" applyFill="1" applyBorder="1"/>
    <x:xf numFmtId="205" fontId="7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vertical="top" wrapText="1"/>
    </x:xf>
    <x:xf numFmtId="205" fontId="5" fillId="0" borderId="0" xfId="0" applyNumberFormat="1" applyFont="1" applyFill="1" applyBorder="1"/>
    <x:xf numFmtId="205" fontId="5" fillId="0" borderId="1" xfId="0" applyNumberFormat="1" applyFont="1" applyFill="1" applyBorder="1"/>
    <x:xf numFmtId="206" fontId="5" fillId="0" borderId="0" xfId="0" applyNumberFormat="1" applyFont="1" applyFill="1" applyBorder="1"/>
    <x:xf numFmtId="206" fontId="5" fillId="0" borderId="1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4" fontId="7" fillId="0" borderId="1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5" fontId="7" fillId="0" borderId="1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206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6" fontId="5" fillId="0" borderId="1" xfId="0" applyNumberFormat="1" applyFont="1" applyFill="1" applyBorder="1" applyAlignment="1">
      <x:alignment vertical="center"/>
    </x:xf>
    <x:xf numFmtId="205" fontId="5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36F58"/>
      </x:font>
      <x:fill>
        <x:patternFill patternType="solid">
          <x:bgColor rgb="FFDDF7ED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6c1392e584c67" /><Relationship Type="http://schemas.openxmlformats.org/officeDocument/2006/relationships/theme" Target="/xl/theme/theme1.xml" Id="R3870739e50b240cd" /><Relationship Type="http://schemas.microsoft.com/office/2022/11/relationships/FeaturePropertyBag" Target="/xl/featurePropertyBag/featurePropertyBag.xml" Id="R9bc684a5ab3a4eaf" /><Relationship Type="http://schemas.openxmlformats.org/officeDocument/2006/relationships/sharedStrings" Target="/xl/sharedStrings.xml" Id="Rb7903c9f507e4131" /><Relationship Type="http://schemas.openxmlformats.org/officeDocument/2006/relationships/worksheet" Target="/xl/worksheets/sheet1.xml" Id="Rd46cd4442553429b" /><Relationship Type="http://schemas.openxmlformats.org/officeDocument/2006/relationships/worksheet" Target="/xl/worksheets/sheet2.xml" Id="R8ec66ef6bcf64ab7" /><Relationship Type="http://schemas.openxmlformats.org/officeDocument/2006/relationships/worksheet" Target="/xl/worksheets/sheet3.xml" Id="R880905fb48ec42aa" /><Relationship Type="http://schemas.openxmlformats.org/officeDocument/2006/relationships/worksheet" Target="/xl/worksheets/sheet4.xml" Id="Rc5d1d8f6077c43d6" /><Relationship Type="http://schemas.openxmlformats.org/officeDocument/2006/relationships/worksheet" Target="/xl/worksheets/sheet5.xml" Id="R338ee5d4de5346f2" /><Relationship Type="http://schemas.openxmlformats.org/officeDocument/2006/relationships/worksheet" Target="/xl/worksheets/sheet6.xml" Id="Re8d009b6c2d54100" /><Relationship Type="http://schemas.openxmlformats.org/officeDocument/2006/relationships/worksheet" Target="/xl/worksheets/sheet7.xml" Id="Ree8618ad124b47b6" /><Relationship Type="http://schemas.openxmlformats.org/officeDocument/2006/relationships/worksheet" Target="/xl/worksheets/sheet8.xml" Id="R1dce2ab71d9942ef" /><Relationship Type="http://schemas.openxmlformats.org/officeDocument/2006/relationships/worksheet" Target="/xl/worksheets/sheet9.xml" Id="Ref865932aea249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f94383fb5145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Resolution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'Dashboard'!$D$8:$D$11</c:f>
              <c:strCache>
                <c:ptCount val="0"/>
              </c:strCache>
            </c:strRef>
          </c:cat>
          <c:val>
            <c:numRef>
              <c:f>'Dashboard'!$E$8:$E$11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f94383fb51452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olutionMatrixTable" displayName="ResolutionMatrixTable" ref="A4:E16" headerRowCount="1">
  <x:tableColumns count="5">
    <x:tableColumn id="1" name="Question"/>
    <x:tableColumn id="2" name="Finding"/>
    <x:tableColumn id="3" name="Status"/>
    <x:tableColumn id="4" name="Confidence"/>
    <x:tableColumn id="5" name="CollectFolio Resolution"/>
  </x:tableColumns>
  <x:tableStyleInfo name="TableStyleMedium2" showRowStripes="1"/>
</x:table>
</file>

<file path=xl/tables/table2.xml><?xml version="1.0" encoding="utf-8"?>
<x:table xmlns:x="http://schemas.openxmlformats.org/spreadsheetml/2006/main" id="2" name="ModelRowsTable" displayName="ModelRowsTable" ref="A4:O26" headerRowCount="1">
  <x:tableColumns count="15">
    <x:tableColumn id="1" name="Set"/>
    <x:tableColumn id="2" name="Chase Card"/>
    <x:tableColumn id="3" name="Pull Cost ($)"/>
    <x:tableColumn id="4" name="Displayed Pull Score"/>
    <x:tableColumn id="5" name="Exact Pull Score"/>
    <x:tableColumn id="6" name="Displayed Desirability"/>
    <x:tableColumn id="7" name="Displayed Modeled Price ($)"/>
    <x:tableColumn id="8" name="Video Market Price ($)"/>
    <x:tableColumn id="9" name="Price from Shown Coefficients ($)"/>
    <x:tableColumn id="10" name="Formula − Displayed ($)"/>
    <x:tableColumn id="11" name="Formula − Displayed (%)"/>
    <x:tableColumn id="12" name="Desirability Needed for Displayed Price"/>
    <x:tableColumn id="13" name="Hidden Score Delta"/>
    <x:tableColumn id="14" name="Video Market − Model ($)"/>
    <x:tableColumn id="15" name="Video Label"/>
  </x:tableColumns>
  <x:tableStyleInfo name="TableStyleMedium2" showRowStripes="1"/>
</x:table>
</file>

<file path=xl/tables/table3.xml><?xml version="1.0" encoding="utf-8"?>
<x:table xmlns:x="http://schemas.openxmlformats.org/spreadsheetml/2006/main" id="3" name="PullInputsTable" displayName="PullInputsTable" ref="A4:K23" headerRowCount="1">
  <x:tableColumns count="11">
    <x:tableColumn id="1" name="Set"/>
    <x:tableColumn id="2" name="Any SIR Odds (1 in X)"/>
    <x:tableColumn id="3" name="Eligible Cards"/>
    <x:tableColumn id="4" name="Expected Packs"/>
    <x:tableColumn id="5" name="Video Pull Cost ($)"/>
    <x:tableColumn id="6" name="Implied Pack Price ($)"/>
    <x:tableColumn id="7" name="Exact Pull Score"/>
    <x:tableColumn id="8" name="Displayed Pull Score"/>
    <x:tableColumn id="9" name="Rounded Match"/>
    <x:tableColumn id="10" name="Provenance Note"/>
    <x:tableColumn id="11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CharacterPremiumTable" displayName="CharacterPremiumTable" ref="A4:E24" headerRowCount="1">
  <x:tableColumns count="5">
    <x:tableColumn id="1" name="Character"/>
    <x:tableColumn id="2" name="Weighted Rank"/>
    <x:tableColumn id="3" name="Normalized Score"/>
    <x:tableColumn id="4" name="Average Set/Rarity Price Rank"/>
    <x:tableColumn id="5" name="Print Count"/>
  </x:tableColumns>
  <x:tableStyleInfo name="TableStyleMedium2" showRowStripes="1"/>
</x:table>
</file>

<file path=xl/tables/table5.xml><?xml version="1.0" encoding="utf-8"?>
<x:table xmlns:x="http://schemas.openxmlformats.org/spreadsheetml/2006/main" id="5" name="CanonicalSpecTable" displayName="CanonicalSpecTable" ref="A4:E15" headerRowCount="1">
  <x:tableColumns count="5">
    <x:tableColumn id="1" name="Area"/>
    <x:tableColumn id="2" name="Canonical Rule"/>
    <x:tableColumn id="3" name="Stored Provenance"/>
    <x:tableColumn id="4" name="Validation"/>
    <x:tableColumn id="5" name="Reason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4:C15" headerRowCount="1">
  <x:tableColumns count="3">
    <x:tableColumn id="1" name="Source"/>
    <x:tableColumn id="2" name="Use"/>
    <x:tableColumn id="3" name="Location /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5d7814097540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005548dfa84d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fe8216293a34d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eadaefd11534a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d69b0bc3d6849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c0c087e8a1f048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0be2547aa1aa40b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CollectFolio Video Model — Forensic Resolution</x:v>
      </x:c>
      <x:c r="B1" s="5"/>
      <x:c r="C1" s="5"/>
      <x:c r="D1" s="5"/>
      <x:c r="E1" s="5"/>
      <x:c r="F1" s="5"/>
      <x:c r="G1" s="5"/>
      <x:c r="H1" s="5"/>
      <x:c r="I1" s="109"/>
      <x:c r="J1" s="109"/>
      <x:c r="K1" s="109"/>
      <x:c r="L1" s="109"/>
      <x:c r="M1" s="109"/>
      <x:c r="N1" s="109"/>
      <x:c r="O1" s="109"/>
      <x:c r="P1" s="109"/>
      <x:c r="Q1" s="109"/>
    </x:row>
    <x:row r="2" ht="30" customHeight="1">
      <x:c r="A2" s="5"/>
      <x:c r="B2" s="5"/>
      <x:c r="C2" s="5"/>
      <x:c r="D2" s="5"/>
      <x:c r="E2" s="5"/>
      <x:c r="F2" s="5"/>
      <x:c r="G2" s="5"/>
      <x:c r="H2" s="5"/>
      <x:c r="I2" s="109"/>
      <x:c r="J2" s="109"/>
      <x:c r="K2" s="109"/>
      <x:c r="L2" s="109"/>
      <x:c r="M2" s="109"/>
      <x:c r="N2" s="109"/>
      <x:c r="O2" s="109"/>
      <x:c r="P2" s="109"/>
      <x:c r="Q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</x:row>
    <x:row r="4">
      <x:c r="A4" s="13" t="str">
        <x:v>Conclusion: the video model can be reconstructed closely enough for audit, but not copied as a trustworthy production model. The historical workbook and several component inputs were never disclosed; this workbook resolves the formulas, exact pull-score normalization, 22-row sample, mixed price dates, top-level regressors, and the coefficient/output inconsistency.</x:v>
      </x:c>
      <x:c r="B4" s="13"/>
      <x:c r="C4" s="13"/>
      <x:c r="D4" s="13"/>
      <x:c r="E4" s="13"/>
      <x:c r="F4" s="13"/>
      <x:c r="G4" s="13"/>
      <x:c r="H4" s="13"/>
      <x:c r="I4" s="109"/>
      <x:c r="J4" s="109"/>
      <x:c r="K4" s="109"/>
      <x:c r="L4" s="109"/>
      <x:c r="M4" s="109"/>
      <x:c r="N4" s="109"/>
      <x:c r="O4" s="109"/>
      <x:c r="P4" s="109"/>
      <x:c r="Q4" s="109"/>
    </x:row>
    <x:row r="5">
      <x:c r="A5" s="13"/>
      <x:c r="B5" s="13"/>
      <x:c r="C5" s="13"/>
      <x:c r="D5" s="13"/>
      <x:c r="E5" s="13"/>
      <x:c r="F5" s="13"/>
      <x:c r="G5" s="13"/>
      <x:c r="H5" s="13"/>
      <x:c r="I5" s="109"/>
      <x:c r="J5" s="109"/>
      <x:c r="K5" s="109"/>
      <x:c r="L5" s="109"/>
      <x:c r="M5" s="109"/>
      <x:c r="N5" s="109"/>
      <x:c r="O5" s="109"/>
      <x:c r="P5" s="109"/>
      <x:c r="Q5" s="109"/>
    </x:row>
    <x:row r="6">
      <x:c r="A6" s="109"/>
      <x:c r="B6" s="109"/>
      <x:c r="C6" s="109"/>
      <x:c r="D6" s="109"/>
      <x:c r="E6" s="109"/>
      <x:c r="F6" s="109"/>
      <x:c r="G6" s="109"/>
      <x:c r="H6" s="109"/>
      <x:c r="I6" s="109"/>
      <x:c r="J6" s="109"/>
      <x:c r="K6" s="109"/>
      <x:c r="L6" s="109"/>
      <x:c r="M6" s="109"/>
      <x:c r="N6" s="109"/>
      <x:c r="O6" s="109"/>
      <x:c r="P6" s="109"/>
      <x:c r="Q6" s="109"/>
    </x:row>
    <x:row r="7">
      <x:c r="A7" s="22" t="str">
        <x:v>Forensic KPI</x:v>
      </x:c>
      <x:c r="B7" s="22" t="str">
        <x:v>Result</x:v>
      </x:c>
      <x:c r="C7" s="109"/>
      <x:c r="D7" s="22" t="str">
        <x:v>Resolution status</x:v>
      </x:c>
      <x:c r="E7" s="22" t="str">
        <x:v>Count</x:v>
      </x:c>
      <x:c r="F7" s="109"/>
      <x:c r="G7" s="109"/>
      <x:c r="H7" s="109"/>
      <x:c r="I7" s="109"/>
      <x:c r="J7" s="109"/>
      <x:c r="K7" s="109"/>
      <x:c r="L7" s="109"/>
      <x:c r="M7" s="109"/>
      <x:c r="N7" s="109"/>
      <x:c r="O7" s="109"/>
      <x:c r="P7" s="109"/>
      <x:c r="Q7" s="109"/>
    </x:row>
    <x:row r="8">
      <x:c r="A8" s="110" t="str">
        <x:v>Questions examined</x:v>
      </x:c>
      <x:c r="B8" s="111" t="n">
        <x:v>12</x:v>
      </x:c>
      <x:c r="C8" s="109"/>
      <x:c r="D8" s="110" t="str">
        <x:v>Resolved exactly</x:v>
      </x:c>
      <x:c r="E8" s="111" t="n">
        <x:v>4</x:v>
      </x:c>
      <x:c r="F8" s="109"/>
      <x:c r="G8" s="109"/>
      <x:c r="H8" s="109"/>
      <x:c r="I8" s="109"/>
      <x:c r="J8" s="109"/>
      <x:c r="K8" s="109"/>
      <x:c r="L8" s="109"/>
      <x:c r="M8" s="109"/>
      <x:c r="N8" s="109"/>
      <x:c r="O8" s="109"/>
      <x:c r="P8" s="109"/>
      <x:c r="Q8" s="109"/>
    </x:row>
    <x:row r="9">
      <x:c r="A9" s="110" t="str">
        <x:v>Displayed training observations</x:v>
      </x:c>
      <x:c r="B9" s="111" t="n">
        <x:v>22</x:v>
      </x:c>
      <x:c r="C9" s="109"/>
      <x:c r="D9" s="110" t="str">
        <x:v>Resolved / strong forensic inference</x:v>
      </x:c>
      <x:c r="E9" s="111" t="n">
        <x:v>3</x:v>
      </x:c>
      <x:c r="F9" s="109"/>
      <x:c r="G9" s="109"/>
      <x:c r="H9" s="109"/>
      <x:c r="I9" s="109"/>
      <x:c r="J9" s="109"/>
      <x:c r="K9" s="109"/>
      <x:c r="L9" s="109"/>
      <x:c r="M9" s="109"/>
      <x:c r="N9" s="109"/>
      <x:c r="O9" s="109"/>
      <x:c r="P9" s="109"/>
      <x:c r="Q9" s="109"/>
    </x:row>
    <x:row r="10">
      <x:c r="A10" s="110" t="str">
        <x:v>Top-level predictors</x:v>
      </x:c>
      <x:c r="B10" s="111" t="n">
        <x:v>2</x:v>
      </x:c>
      <x:c r="C10" s="109"/>
      <x:c r="D10" s="110" t="str">
        <x:v>Partially resolved</x:v>
      </x:c>
      <x:c r="E10" s="111" t="n">
        <x:v>3</x:v>
      </x:c>
      <x:c r="F10" s="109"/>
      <x:c r="G10" s="109"/>
      <x:c r="H10" s="109"/>
      <x:c r="I10" s="109"/>
      <x:c r="J10" s="109"/>
      <x:c r="K10" s="109"/>
      <x:c r="L10" s="109"/>
      <x:c r="M10" s="109"/>
      <x:c r="N10" s="109"/>
      <x:c r="O10" s="109"/>
      <x:c r="P10" s="109"/>
      <x:c r="Q10" s="109"/>
    </x:row>
    <x:row r="11">
      <x:c r="A11" s="110" t="str">
        <x:v>Exact pull-score formula recovered</x:v>
      </x:c>
      <x:c r="B11" s="112" t="b">
        <x:v>1</x:v>
      </x:c>
      <x:c r="C11" s="109"/>
      <x:c r="D11" s="110" t="str">
        <x:v>Historically not recoverable</x:v>
      </x:c>
      <x:c r="E11" s="111" t="n">
        <x:v>2</x:v>
      </x:c>
      <x:c r="F11" s="109"/>
      <x:c r="G11" s="109"/>
      <x:c r="H11" s="109"/>
      <x:c r="I11" s="109"/>
      <x:c r="J11" s="109"/>
      <x:c r="K11" s="109"/>
      <x:c r="L11" s="109"/>
      <x:c r="M11" s="109"/>
      <x:c r="N11" s="109"/>
      <x:c r="O11" s="109"/>
      <x:c r="P11" s="109"/>
      <x:c r="Q11" s="109"/>
    </x:row>
    <x:row r="12">
      <x:c r="A12" s="110" t="str">
        <x:v>One common training date exists</x:v>
      </x:c>
      <x:c r="B12" s="112" t="b">
        <x:v>0</x:v>
      </x:c>
      <x:c r="C12" s="109"/>
      <x:c r="D12" s="109"/>
      <x:c r="E12" s="109"/>
      <x:c r="F12" s="109"/>
      <x:c r="G12" s="10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</x:row>
    <x:row r="13">
      <x:c r="A13" s="109"/>
      <x:c r="B13" s="109"/>
      <x:c r="C13" s="109"/>
      <x:c r="D13" s="109"/>
      <x:c r="E13" s="109"/>
      <x:c r="F13" s="109"/>
      <x:c r="G13" s="109"/>
      <x:c r="H13" s="109"/>
      <x:c r="I13" s="109"/>
      <x:c r="J13" s="109"/>
      <x:c r="K13" s="109"/>
      <x:c r="L13" s="109"/>
      <x:c r="M13" s="109"/>
      <x:c r="N13" s="109"/>
      <x:c r="O13" s="109"/>
      <x:c r="P13" s="109"/>
      <x:c r="Q13" s="109"/>
    </x:row>
    <x:row r="14">
      <x:c r="A14" s="39" t="str">
        <x:v>Most Important Findings</x:v>
      </x:c>
      <x:c r="B14" s="39"/>
      <x:c r="C14" s="39"/>
      <x:c r="D14" s="39"/>
      <x:c r="E14" s="39"/>
      <x:c r="F14" s="39"/>
      <x:c r="G14" s="39"/>
      <x:c r="H14" s="39"/>
      <x:c r="I14" s="109"/>
      <x:c r="J14" s="109"/>
      <x:c r="K14" s="109"/>
      <x:c r="L14" s="109"/>
      <x:c r="M14" s="109"/>
      <x:c r="N14" s="109"/>
      <x:c r="O14" s="109"/>
      <x:c r="P14" s="109"/>
      <x:c r="Q14" s="109"/>
    </x:row>
    <x:row r="15">
      <x:c r="A15" s="113" t="str">
        <x:v>1</x:v>
      </x:c>
      <x:c r="B15" s="110" t="str">
        <x:v>Sample size</x:v>
      </x:c>
      <x:c r="C15" s="114" t="str">
        <x:v>The regression statistics imply exactly 22 observations with two predictors.</x:v>
      </x:c>
      <x:c r="D15" s="114" t="str"/>
      <x:c r="E15" s="114" t="str"/>
      <x:c r="F15" s="114" t="str"/>
      <x:c r="G15" s="114" t="str"/>
      <x:c r="H15" s="114" t="str"/>
      <x:c r="I15" s="109"/>
      <x:c r="J15" s="109"/>
      <x:c r="K15" s="109"/>
      <x:c r="L15" s="109"/>
      <x:c r="M15" s="109"/>
      <x:c r="N15" s="109"/>
      <x:c r="O15" s="109"/>
      <x:c r="P15" s="109"/>
      <x:c r="Q15" s="109"/>
    </x:row>
    <x:row r="16">
      <x:c r="A16" s="113" t="str">
        <x:v>2</x:v>
      </x:c>
      <x:c r="B16" s="110" t="str">
        <x:v>Pull normalization</x:v>
      </x:c>
      <x:c r="C16" s="114" t="str">
        <x:v>Exact pull score = 10 × pull cost ÷ $18,446.</x:v>
      </x:c>
      <x:c r="D16" s="114" t="str"/>
      <x:c r="E16" s="114" t="str"/>
      <x:c r="F16" s="114" t="str"/>
      <x:c r="G16" s="114" t="str"/>
      <x:c r="H16" s="114" t="str"/>
      <x:c r="I16" s="109"/>
      <x:c r="J16" s="109"/>
      <x:c r="K16" s="109"/>
      <x:c r="L16" s="109"/>
      <x:c r="M16" s="109"/>
      <x:c r="N16" s="109"/>
      <x:c r="O16" s="109"/>
      <x:c r="P16" s="109"/>
      <x:c r="Q16" s="109"/>
    </x:row>
    <x:row r="17">
      <x:c r="A17" s="113" t="str">
        <x:v>3</x:v>
      </x:c>
      <x:c r="B17" s="110" t="str">
        <x:v>Date integrity</x:v>
      </x:c>
      <x:c r="C17" s="114" t="str">
        <x:v>Card prices were collected or refreshed on different dates; there is no single training snapshot.</x:v>
      </x:c>
      <x:c r="D17" s="114" t="str"/>
      <x:c r="E17" s="114" t="str"/>
      <x:c r="F17" s="114" t="str"/>
      <x:c r="G17" s="114" t="str"/>
      <x:c r="H17" s="114" t="str"/>
      <x:c r="I17" s="109"/>
      <x:c r="J17" s="109"/>
      <x:c r="K17" s="109"/>
      <x:c r="L17" s="109"/>
      <x:c r="M17" s="109"/>
      <x:c r="N17" s="109"/>
      <x:c r="O17" s="109"/>
      <x:c r="P17" s="109"/>
      <x:c r="Q17" s="109"/>
    </x:row>
    <x:row r="18">
      <x:c r="A18" s="113" t="str">
        <x:v>4</x:v>
      </x:c>
      <x:c r="B18" s="110" t="str">
        <x:v>Hidden variables</x:v>
      </x:c>
      <x:c r="C18" s="114" t="str">
        <x:v>No extra top-level regressors; character, art/hype, and Trends are embedded in desirability.</x:v>
      </x:c>
      <x:c r="D18" s="114" t="str"/>
      <x:c r="E18" s="114" t="str"/>
      <x:c r="F18" s="114" t="str"/>
      <x:c r="G18" s="114" t="str"/>
      <x:c r="H18" s="114" t="str"/>
      <x:c r="I18" s="109"/>
      <x:c r="J18" s="109"/>
      <x:c r="K18" s="109"/>
      <x:c r="L18" s="109"/>
      <x:c r="M18" s="109"/>
      <x:c r="N18" s="109"/>
      <x:c r="O18" s="109"/>
      <x:c r="P18" s="109"/>
      <x:c r="Q18" s="109"/>
    </x:row>
    <x:row r="19">
      <x:c r="A19" s="113" t="str">
        <x:v>5</x:v>
      </x:c>
      <x:c r="B19" s="110" t="str">
        <x:v>Model mismatch</x:v>
      </x:c>
      <x:c r="C19" s="114" t="str">
        <x:v>The coefficient slide and prediction table are from inconsistent versions or stale formula outputs.</x:v>
      </x:c>
      <x:c r="D19" s="114" t="str"/>
      <x:c r="E19" s="114" t="str"/>
      <x:c r="F19" s="114" t="str"/>
      <x:c r="G19" s="114" t="str"/>
      <x:c r="H19" s="114" t="str"/>
      <x:c r="I19" s="109"/>
      <x:c r="J19" s="109"/>
      <x:c r="K19" s="109"/>
      <x:c r="L19" s="109"/>
      <x:c r="M19" s="109"/>
      <x:c r="N19" s="109"/>
      <x:c r="O19" s="109"/>
      <x:c r="P19" s="109"/>
      <x:c r="Q19" s="109"/>
    </x:row>
    <x:row r="20">
      <x:c r="A20" s="113" t="str">
        <x:v>6</x:v>
      </x:c>
      <x:c r="B20" s="110" t="str">
        <x:v>Production decision</x:v>
      </x:c>
      <x:c r="C20" s="114" t="str">
        <x:v>Preserve this as an educational baseline; use point-in-time, versioned, walk-forward models in CollectFolio.</x:v>
      </x:c>
      <x:c r="D20" s="114" t="str"/>
      <x:c r="E20" s="114" t="str"/>
      <x:c r="F20" s="114" t="str"/>
      <x:c r="G20" s="114" t="str"/>
      <x:c r="H20" s="114" t="str"/>
      <x:c r="I20" s="109"/>
      <x:c r="J20" s="109"/>
      <x:c r="K20" s="109"/>
      <x:c r="L20" s="109"/>
      <x:c r="M20" s="109"/>
      <x:c r="N20" s="109"/>
      <x:c r="O20" s="109"/>
      <x:c r="P20" s="109"/>
      <x:c r="Q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</x:row>
  </x:sheetData>
  <x:mergeCells>
    <x:mergeCell ref="A1:H2"/>
    <x:mergeCell ref="A4:H5"/>
    <x:mergeCell ref="A14:H14"/>
  </x:mergeCells>
  <x:pageMargins left="0.7" right="0.7" top="0.75" bottom="0.75" header="0.3" footer="0.3"/>
  <x:drawing xmlns:r="http://schemas.openxmlformats.org/officeDocument/2006/relationships" r:id="Rff5d781409754031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24" hidden="0" customWidth="1"/>
    <x:col min="4" max="4" width="24" hidden="0" customWidth="1"/>
    <x:col min="5" max="5" width="46" hidden="0" customWidth="1"/>
  </x:cols>
  <x:sheetData>
    <x:row r="1">
      <x:c r="A1" s="5" t="str">
        <x:v>Unresolved Items — Forensic Resolution Matrix</x:v>
      </x:c>
      <x:c r="B1" s="5"/>
      <x:c r="C1" s="5"/>
      <x:c r="D1" s="5"/>
      <x:c r="E1" s="5"/>
      <x:c r="F1" s="109"/>
      <x:c r="G1" s="109"/>
      <x:c r="H1" s="109"/>
      <x:c r="I1" s="109"/>
      <x:c r="J1" s="109"/>
      <x:c r="K1" s="109"/>
      <x:c r="L1" s="109"/>
      <x:c r="M1" s="109"/>
      <x:c r="N1" s="109"/>
      <x:c r="O1" s="109"/>
      <x:c r="P1" s="109"/>
      <x:c r="Q1" s="109"/>
    </x:row>
    <x:row r="2">
      <x:c r="A2" s="5"/>
      <x:c r="B2" s="5"/>
      <x:c r="C2" s="5"/>
      <x:c r="D2" s="5"/>
      <x:c r="E2" s="5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</x:row>
    <x:row r="4">
      <x:c r="A4" s="22" t="str">
        <x:v>Question</x:v>
      </x:c>
      <x:c r="B4" s="22" t="str">
        <x:v>Finding</x:v>
      </x:c>
      <x:c r="C4" s="22" t="str">
        <x:v>Status</x:v>
      </x:c>
      <x:c r="D4" s="22" t="str">
        <x:v>Confidence</x:v>
      </x:c>
      <x:c r="E4" s="22" t="str">
        <x:v>CollectFolio Resolution</x:v>
      </x:c>
      <x:c r="F4" s="109"/>
      <x:c r="G4" s="109"/>
      <x:c r="H4" s="109"/>
      <x:c r="I4" s="109"/>
      <x:c r="J4" s="109"/>
      <x:c r="K4" s="109"/>
      <x:c r="L4" s="109"/>
      <x:c r="M4" s="109"/>
      <x:c r="N4" s="109"/>
      <x:c r="O4" s="109"/>
      <x:c r="P4" s="109"/>
      <x:c r="Q4" s="109"/>
    </x:row>
    <x:row r="5">
      <x:c r="A5" s="121" t="str">
        <x:v>Original spreadsheet/workbook</x:v>
      </x:c>
      <x:c r="B5" s="114" t="str">
        <x:v>No public workbook was located in indexed sources, and the supplied transcript/screenshots contain no workbook link.</x:v>
      </x:c>
      <x:c r="C5" s="114" t="str">
        <x:v>Historically unverified; operationally replaced</x:v>
      </x:c>
      <x:c r="D5" s="122" t="str">
        <x:v>High</x:v>
      </x:c>
      <x:c r="E5" s="114" t="str">
        <x:v>Use this forensic workbook as CollectFolio Model 0. Preserve the creator's workbook as a separate provenance artifact if later obtained.</x:v>
      </x:c>
      <x:c r="F5" s="109"/>
      <x:c r="G5" s="109"/>
      <x:c r="H5" s="109"/>
      <x:c r="I5" s="109"/>
      <x:c r="J5" s="109"/>
      <x:c r="K5" s="109"/>
      <x:c r="L5" s="109"/>
      <x:c r="M5" s="109"/>
      <x:c r="N5" s="109"/>
      <x:c r="O5" s="109"/>
      <x:c r="P5" s="109"/>
      <x:c r="Q5" s="109"/>
    </x:row>
    <x:row r="6">
      <x:c r="A6" s="121" t="str">
        <x:v>Exact unrounded pull scores</x:v>
      </x:c>
      <x:c r="B6" s="114" t="str">
        <x:v>Recovered exactly: pull score = 10 × pull cost ÷ $18,446, where $18,446 is the maximum pull cost in the 22-row sample.</x:v>
      </x:c>
      <x:c r="C6" s="114" t="str">
        <x:v>Resolved exactly</x:v>
      </x:c>
      <x:c r="D6" s="122" t="str">
        <x:v>Very high</x:v>
      </x:c>
      <x:c r="E6" s="114" t="str">
        <x:v>Store raw pull cost plus the fixed model-version maximum. Never recompute old scores against a newer sample maximum.</x:v>
      </x:c>
      <x:c r="F6" s="109"/>
      <x:c r="G6" s="109"/>
      <x:c r="H6" s="109"/>
      <x:c r="I6" s="109"/>
      <x:c r="J6" s="109"/>
      <x:c r="K6" s="109"/>
      <x:c r="L6" s="109"/>
      <x:c r="M6" s="109"/>
      <x:c r="N6" s="109"/>
      <x:c r="O6" s="109"/>
      <x:c r="P6" s="109"/>
      <x:c r="Q6" s="109"/>
    </x:row>
    <x:row r="7">
      <x:c r="A7" s="121" t="str">
        <x:v>Exact unrounded desirability scores</x:v>
      </x:c>
      <x:c r="B7" s="114" t="str">
        <x:v>The value required to reproduce each displayed modeled price can be back-solved. The underlying character/art/Trends components cannot be uniquely separated.</x:v>
      </x:c>
      <x:c r="C7" s="114" t="str">
        <x:v>Partially resolved</x:v>
      </x:c>
      <x:c r="D7" s="122" t="str">
        <x:v>High</x:v>
      </x:c>
      <x:c r="E7" s="114" t="str">
        <x:v>Store the reverse-implied legacy score only for audit. Rebuild components under a documented CollectFolio rubric.</x:v>
      </x:c>
      <x:c r="F7" s="109"/>
      <x:c r="G7" s="109"/>
      <x:c r="H7" s="109"/>
      <x:c r="I7" s="109"/>
      <x:c r="J7" s="109"/>
      <x:c r="K7" s="109"/>
      <x:c r="L7" s="109"/>
      <x:c r="M7" s="109"/>
      <x:c r="N7" s="109"/>
      <x:c r="O7" s="109"/>
      <x:c r="P7" s="109"/>
      <x:c r="Q7" s="109"/>
    </x:row>
    <x:row r="8">
      <x:c r="A8" s="121" t="str">
        <x:v>Exact training date</x:v>
      </x:c>
      <x:c r="B8" s="114" t="str">
        <x:v>The displayed card prices do not correspond to one common TCGplayer daily snapshot. They map to different dates from mid-March through early April 2026.</x:v>
      </x:c>
      <x:c r="C8" s="114" t="str">
        <x:v>Resolved: no single date</x:v>
      </x:c>
      <x:c r="D8" s="122" t="str">
        <x:v>High</x:v>
      </x:c>
      <x:c r="E8" s="114" t="str">
        <x:v>Every CollectFolio run must have one as-of timestamp and immutable point-in-time feature snapshots.</x:v>
      </x:c>
      <x:c r="F8" s="109"/>
      <x:c r="G8" s="109"/>
      <x:c r="H8" s="109"/>
      <x:c r="I8" s="109"/>
      <x:c r="J8" s="109"/>
      <x:c r="K8" s="109"/>
      <x:c r="L8" s="109"/>
      <x:c r="M8" s="109"/>
      <x:c r="N8" s="109"/>
      <x:c r="O8" s="109"/>
      <x:c r="P8" s="109"/>
      <x:c r="Q8" s="109"/>
    </x:row>
    <x:row r="9">
      <x:c r="A9" s="121" t="str">
        <x:v>Pack-price source and observation date</x:v>
      </x:c>
      <x:c r="B9" s="114" t="str">
        <x:v>The exact pack-price inputs are recovered by pull cost ÷ expected packs. Their levels strongly resemble secondary-market loose booster-pack prices, likely TCGplayer, but exact per-row dates are absent.</x:v>
      </x:c>
      <x:c r="C9" s="114" t="str">
        <x:v>Inputs resolved; provenance not proved</x:v>
      </x:c>
      <x:c r="D9" s="122" t="str">
        <x:v>Medium-high</x:v>
      </x:c>
      <x:c r="E9" s="114" t="str">
        <x:v>Use TCGCSV/TCGplayer market snapshots with product ID, subtype, source timestamp, and model as-of date.</x:v>
      </x:c>
      <x:c r="F9" s="109"/>
      <x:c r="G9" s="109"/>
      <x:c r="H9" s="109"/>
      <x:c r="I9" s="109"/>
      <x:c r="J9" s="109"/>
      <x:c r="K9" s="109"/>
      <x:c r="L9" s="109"/>
      <x:c r="M9" s="109"/>
      <x:c r="N9" s="109"/>
      <x:c r="O9" s="109"/>
      <x:c r="P9" s="109"/>
      <x:c r="Q9" s="109"/>
    </x:row>
    <x:row r="10">
      <x:c r="A10" s="121" t="str">
        <x:v>Google Trends terms, geography, and time window</x:v>
      </x:c>
      <x:c r="B10" s="114" t="str">
        <x:v>Not stated and mathematically non-identifiable from the final composite score. Trends UI values change with term/topic, comparison set, geography, and time range.</x:v>
      </x:c>
      <x:c r="C10" s="114" t="str">
        <x:v>Not historically recoverable</x:v>
      </x:c>
      <x:c r="D10" s="122" t="str">
        <x:v>Very high</x:v>
      </x:c>
      <x:c r="E10" s="114" t="str">
        <x:v>Define and persist an explicit query contract and exported raw result; use internal/Wikimedia signals as free automated alternatives.</x:v>
      </x:c>
      <x:c r="F10" s="109"/>
      <x:c r="G10" s="109"/>
      <x:c r="H10" s="109"/>
      <x:c r="I10" s="109"/>
      <x:c r="J10" s="109"/>
      <x:c r="K10" s="109"/>
      <x:c r="L10" s="109"/>
      <x:c r="M10" s="109"/>
      <x:c r="N10" s="109"/>
      <x:c r="O10" s="109"/>
      <x:c r="P10" s="109"/>
      <x:c r="Q10" s="109"/>
    </x:row>
    <x:row r="11">
      <x:c r="A11" s="121" t="str">
        <x:v>Artwork-score rubric</x:v>
      </x:c>
      <x:c r="B11" s="114" t="str">
        <x:v>Only anchor examples are disclosed: Bubble Mew and Mega Charizard X = 10, Destined Rivals Mewtwo ≈ 9, Dachsbun = 1. No criteria for scores 2–8, raters, or blinding are given.</x:v>
      </x:c>
      <x:c r="C11" s="114" t="str">
        <x:v>Anchor rubric recovered; full rubric absent</x:v>
      </x:c>
      <x:c r="D11" s="122" t="str">
        <x:v>Very high</x:v>
      </x:c>
      <x:c r="E11" s="114" t="str">
        <x:v>Replace single-rater scoring with blind pairwise votes and a reproducible ranking model; retain uncertainty.</x:v>
      </x:c>
      <x:c r="F11" s="109"/>
      <x:c r="G11" s="109"/>
      <x:c r="H11" s="109"/>
      <x:c r="I11" s="109"/>
      <x:c r="J11" s="109"/>
      <x:c r="K11" s="109"/>
      <x:c r="L11" s="109"/>
      <x:c r="M11" s="109"/>
      <x:c r="N11" s="109"/>
      <x:c r="O11" s="109"/>
      <x:c r="P11" s="109"/>
      <x:c r="Q11" s="109"/>
    </x:row>
    <x:row r="12">
      <x:c r="A12" s="121" t="str">
        <x:v>Character-premium source dataset</x:v>
      </x:c>
      <x:c r="B12" s="114" t="str">
        <x:v>The top-20 table is recovered. Its print counts prove the universe is filtered and is not literally every printing across every set/rarity as stated in narration.</x:v>
      </x:c>
      <x:c r="C12" s="114" t="str">
        <x:v>Table recovered; filter unknown</x:v>
      </x:c>
      <x:c r="D12" s="122" t="str">
        <x:v>High</x:v>
      </x:c>
      <x:c r="E12" s="114" t="str">
        <x:v>Rebuild from a declared eligible universe, point-in-time prices, minimum sample rules, and regularization.</x:v>
      </x:c>
      <x:c r="F12" s="109"/>
      <x:c r="G12" s="10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</x:row>
    <x:row r="13">
      <x:c r="A13" s="121" t="str">
        <x:v>Whether target cards were excluded</x:v>
      </x:c>
      <x:c r="B13" s="114" t="str">
        <x:v>The transcript does not mention leave-one-out exclusion. There is no evidence proving inclusion or exclusion.</x:v>
      </x:c>
      <x:c r="C13" s="114" t="str">
        <x:v>Not historically provable</x:v>
      </x:c>
      <x:c r="D13" s="122" t="str">
        <x:v>High</x:v>
      </x:c>
      <x:c r="E13" s="114" t="str">
        <x:v>CollectFolio must exclude the target card and all future observations when calculating its character premium.</x:v>
      </x:c>
      <x:c r="F13" s="109"/>
      <x:c r="G13" s="109"/>
      <x:c r="H13" s="109"/>
      <x:c r="I13" s="109"/>
      <x:c r="J13" s="109"/>
      <x:c r="K13" s="109"/>
      <x:c r="L13" s="109"/>
      <x:c r="M13" s="109"/>
      <x:c r="N13" s="109"/>
      <x:c r="O13" s="109"/>
      <x:c r="P13" s="109"/>
      <x:c r="Q13" s="109"/>
    </x:row>
    <x:row r="14">
      <x:c r="A14" s="121" t="str">
        <x:v>Additional hidden regression variables</x:v>
      </x:c>
      <x:c r="B14" s="114" t="str">
        <x:v>The coefficient table ends after intercept, pull-cost-score, and desirability-score. No additional top-level regressors are present in the displayed regression.</x:v>
      </x:c>
      <x:c r="C14" s="114" t="str">
        <x:v>Resolved exactly</x:v>
      </x:c>
      <x:c r="D14" s="122" t="str">
        <x:v>Very high</x:v>
      </x:c>
      <x:c r="E14" s="114" t="str">
        <x:v>Treat character, art/hype, and Trends as subcomponents of desirability—not hidden independent regressors.</x:v>
      </x:c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</x:row>
    <x:row r="15">
      <x:c r="A15" s="121" t="str">
        <x:v>Why coefficients do not reproduce displayed predictions</x:v>
      </x:c>
      <x:c r="B15" s="114" t="str">
        <x:v>Shown coefficients plus shown scores miss displayed modeled prices by roughly -10% to +20% on many rows—far beyond one-decimal rounding. The table is internally consistent with a nearby model, indicating a version/paste/recalculation mismatch.</x:v>
      </x:c>
      <x:c r="C15" s="114" t="str">
        <x:v>Cause class resolved; edit history unknown</x:v>
      </x:c>
      <x:c r="D15" s="122" t="str">
        <x:v>High</x:v>
      </x:c>
      <x:c r="E15" s="114" t="str">
        <x:v>Version every dataset, feature table, coefficient set, and prediction output; regenerate predictions from the same immutable run.</x:v>
      </x:c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</x:row>
    <x:row r="16">
      <x:c r="A16" s="121" t="str">
        <x:v>Training sample size</x:v>
      </x:c>
      <x:c r="B16" s="114" t="str">
        <x:v>R², adjusted R², and two predictors mathematically imply 22 observations, matching the 22 rows visible in the prediction table.</x:v>
      </x:c>
      <x:c r="C16" s="114" t="str">
        <x:v>Resolved exactly</x:v>
      </x:c>
      <x:c r="D16" s="122" t="str">
        <x:v>Very high</x:v>
      </x:c>
      <x:c r="E16" s="114" t="str">
        <x:v>Record training row count and grouped/time-based validation splits in every model card.</x:v>
      </x:c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</x:row>
    <x:row r="17">
      <x:c r="A17" s="109"/>
      <x:c r="B17" s="109"/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</x:row>
    <x:row r="18">
      <x:c r="A18" s="109"/>
      <x:c r="B18" s="109"/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</x:row>
  </x:sheetData>
  <x:mergeCells>
    <x:mergeCell ref="A1:E2"/>
  </x:mergeCells>
  <x:conditionalFormatting sqref="C5:C16">
    <x:cfRule type="expression" dxfId="0" priority="1">
      <x:formula>ISNUMBER(SEARCH("Resolved exactly",C5))</x:formula>
    </x:cfRule>
    <x:cfRule type="expression" dxfId="1" priority="2">
      <x:formula>ISNUMBER(SEARCH("Not historically",C5))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005548dfa84d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6" hidden="0" customWidth="1"/>
    <x:col min="3" max="3" width="26" hidden="0" customWidth="1"/>
    <x:col min="4" max="4" width="26" hidden="0" customWidth="1"/>
  </x:cols>
  <x:sheetData>
    <x:row r="1">
      <x:c r="A1" s="5" t="str">
        <x:v>Regression Recovered from Video</x:v>
      </x:c>
      <x:c r="B1" s="5"/>
      <x:c r="C1" s="5"/>
      <x:c r="D1" s="5"/>
      <x:c r="E1" s="109"/>
      <x:c r="F1" s="109"/>
      <x:c r="G1" s="109"/>
      <x:c r="H1" s="109"/>
      <x:c r="I1" s="109"/>
      <x:c r="J1" s="109"/>
      <x:c r="K1" s="109"/>
      <x:c r="L1" s="109"/>
      <x:c r="M1" s="109"/>
      <x:c r="N1" s="109"/>
      <x:c r="O1" s="109"/>
      <x:c r="P1" s="109"/>
      <x:c r="Q1" s="109"/>
    </x:row>
    <x:row r="2">
      <x:c r="A2" s="5"/>
      <x:c r="B2" s="5"/>
      <x:c r="C2" s="5"/>
      <x:c r="D2" s="5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</x:row>
    <x:row r="4">
      <x:c r="A4" s="22" t="str">
        <x:v>Regression Statistic</x:v>
      </x:c>
      <x:c r="B4" s="22" t="str">
        <x:v>Video Value</x:v>
      </x:c>
      <x:c r="C4" s="109"/>
      <x:c r="D4" s="109"/>
      <x:c r="E4" s="109"/>
      <x:c r="F4" s="109"/>
      <x:c r="G4" s="109"/>
      <x:c r="H4" s="109"/>
      <x:c r="I4" s="109"/>
      <x:c r="J4" s="109"/>
      <x:c r="K4" s="109"/>
      <x:c r="L4" s="109"/>
      <x:c r="M4" s="109"/>
      <x:c r="N4" s="109"/>
      <x:c r="O4" s="109"/>
      <x:c r="P4" s="109"/>
      <x:c r="Q4" s="109"/>
    </x:row>
    <x:row r="5">
      <x:c r="A5" s="109" t="str">
        <x:v>Multiple R</x:v>
      </x:c>
      <x:c r="B5" s="125" t="n">
        <x:v>0.935716388</x:v>
      </x:c>
      <x:c r="C5" s="109"/>
      <x:c r="D5" s="109"/>
      <x:c r="E5" s="109"/>
      <x:c r="F5" s="109"/>
      <x:c r="G5" s="109"/>
      <x:c r="H5" s="109"/>
      <x:c r="I5" s="109"/>
      <x:c r="J5" s="109"/>
      <x:c r="K5" s="109"/>
      <x:c r="L5" s="109"/>
      <x:c r="M5" s="109"/>
      <x:c r="N5" s="109"/>
      <x:c r="O5" s="109"/>
      <x:c r="P5" s="109"/>
      <x:c r="Q5" s="109"/>
    </x:row>
    <x:row r="6">
      <x:c r="A6" s="109" t="str">
        <x:v>R Square</x:v>
      </x:c>
      <x:c r="B6" s="125" t="n">
        <x:v>0.875565159</x:v>
      </x:c>
      <x:c r="C6" s="109"/>
      <x:c r="D6" s="109"/>
      <x:c r="E6" s="109"/>
      <x:c r="F6" s="109"/>
      <x:c r="G6" s="109"/>
      <x:c r="H6" s="109"/>
      <x:c r="I6" s="109"/>
      <x:c r="J6" s="109"/>
      <x:c r="K6" s="109"/>
      <x:c r="L6" s="109"/>
      <x:c r="M6" s="109"/>
      <x:c r="N6" s="109"/>
      <x:c r="O6" s="109"/>
      <x:c r="P6" s="109"/>
      <x:c r="Q6" s="109"/>
    </x:row>
    <x:row r="7">
      <x:c r="A7" s="109" t="str">
        <x:v>Adjusted R Square</x:v>
      </x:c>
      <x:c r="B7" s="125" t="n">
        <x:v>0.862466755</x:v>
      </x:c>
      <x:c r="C7" s="109"/>
      <x:c r="D7" s="109"/>
      <x:c r="E7" s="109"/>
      <x:c r="F7" s="109"/>
      <x:c r="G7" s="109"/>
      <x:c r="H7" s="109"/>
      <x:c r="I7" s="109"/>
      <x:c r="J7" s="109"/>
      <x:c r="K7" s="109"/>
      <x:c r="L7" s="109"/>
      <x:c r="M7" s="109"/>
      <x:c r="N7" s="109"/>
      <x:c r="O7" s="109"/>
      <x:c r="P7" s="109"/>
      <x:c r="Q7" s="109"/>
    </x:row>
    <x:row r="8">
      <x:c r="A8" s="109" t="str">
        <x:v>Standard Error (log price)</x:v>
      </x:c>
      <x:c r="B8" s="125" t="n">
        <x:v>0.416854308</x:v>
      </x:c>
      <x:c r="C8" s="109"/>
      <x:c r="D8" s="109"/>
      <x:c r="E8" s="109"/>
      <x:c r="F8" s="109"/>
      <x:c r="G8" s="109"/>
      <x:c r="H8" s="109"/>
      <x:c r="I8" s="109"/>
      <x:c r="J8" s="109"/>
      <x:c r="K8" s="109"/>
      <x:c r="L8" s="109"/>
      <x:c r="M8" s="109"/>
      <x:c r="N8" s="109"/>
      <x:c r="O8" s="109"/>
      <x:c r="P8" s="109"/>
      <x:c r="Q8" s="109"/>
    </x:row>
    <x:row r="9">
      <x:c r="A9" s="109" t="str">
        <x:v>Predictor Count</x:v>
      </x:c>
      <x:c r="B9" s="111" t="n">
        <x:v>2</x:v>
      </x:c>
      <x:c r="C9" s="109"/>
      <x:c r="D9" s="109"/>
      <x:c r="E9" s="109"/>
      <x:c r="F9" s="109"/>
      <x:c r="G9" s="109"/>
      <x:c r="H9" s="109"/>
      <x:c r="I9" s="109"/>
      <x:c r="J9" s="109"/>
      <x:c r="K9" s="109"/>
      <x:c r="L9" s="109"/>
      <x:c r="M9" s="109"/>
      <x:c r="N9" s="109"/>
      <x:c r="O9" s="109"/>
      <x:c r="P9" s="109"/>
      <x:c r="Q9" s="109"/>
    </x:row>
    <x:row r="10">
      <x:c r="A10" s="109"/>
      <x:c r="B10" s="109"/>
      <x:c r="C10" s="109"/>
      <x:c r="D10" s="109"/>
      <x:c r="E10" s="109"/>
      <x:c r="F10" s="109"/>
      <x:c r="G10" s="109"/>
      <x:c r="H10" s="109"/>
      <x:c r="I10" s="109"/>
      <x:c r="J10" s="109"/>
      <x:c r="K10" s="109"/>
      <x:c r="L10" s="109"/>
      <x:c r="M10" s="109"/>
      <x:c r="N10" s="109"/>
      <x:c r="O10" s="109"/>
      <x:c r="P10" s="109"/>
      <x:c r="Q10" s="109"/>
    </x:row>
    <x:row r="11">
      <x:c r="A11" s="22" t="str">
        <x:v>Derived Check</x:v>
      </x:c>
      <x:c r="B11" s="22" t="str">
        <x:v>Value</x:v>
      </x:c>
      <x:c r="C11" s="109"/>
      <x:c r="D11" s="109"/>
      <x:c r="E11" s="109"/>
      <x:c r="F11" s="109"/>
      <x:c r="G11" s="109"/>
      <x:c r="H11" s="109"/>
      <x:c r="I11" s="109"/>
      <x:c r="J11" s="109"/>
      <x:c r="K11" s="109"/>
      <x:c r="L11" s="109"/>
      <x:c r="M11" s="109"/>
      <x:c r="N11" s="109"/>
      <x:c r="O11" s="109"/>
      <x:c r="P11" s="109"/>
      <x:c r="Q11" s="109"/>
    </x:row>
    <x:row r="12">
      <x:c r="A12" s="109" t="str">
        <x:v>Implied observations</x:v>
      </x:c>
      <x:c r="B12" s="126" t="n">
        <x:f>ROUND(((((1-B7)/(1-B6))*(B9+1))-1)/(((1-B7)/(1-B6))-1),0)</x:f>
        <x:v>22</x:v>
      </x:c>
      <x:c r="C12" s="109"/>
      <x:c r="D12" s="109"/>
      <x:c r="E12" s="109"/>
      <x:c r="F12" s="109"/>
      <x:c r="G12" s="10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</x:row>
    <x:row r="13">
      <x:c r="A13" s="109" t="str">
        <x:v>Adjusted R² recomputation</x:v>
      </x:c>
      <x:c r="B13" s="127" t="n">
        <x:f>1-(1-B6)*(B12-1)/(B12-B9-1)</x:f>
        <x:v>0.8624667546842105</x:v>
      </x:c>
      <x:c r="C13" s="109"/>
      <x:c r="D13" s="109"/>
      <x:c r="E13" s="109"/>
      <x:c r="F13" s="109"/>
      <x:c r="G13" s="109"/>
      <x:c r="H13" s="109"/>
      <x:c r="I13" s="109"/>
      <x:c r="J13" s="109"/>
      <x:c r="K13" s="109"/>
      <x:c r="L13" s="109"/>
      <x:c r="M13" s="109"/>
      <x:c r="N13" s="109"/>
      <x:c r="O13" s="109"/>
      <x:c r="P13" s="109"/>
      <x:c r="Q13" s="109"/>
    </x:row>
    <x:row r="14">
      <x:c r="A14" s="109"/>
      <x:c r="B14" s="109"/>
      <x:c r="C14" s="109"/>
      <x:c r="D14" s="109"/>
      <x:c r="E14" s="109"/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</x:row>
    <x:row r="15">
      <x:c r="A15" s="22" t="str">
        <x:v>Coefficient</x:v>
      </x:c>
      <x:c r="B15" s="22" t="str">
        <x:v>Video Value</x:v>
      </x:c>
      <x:c r="C15" s="109"/>
      <x:c r="D15" s="109"/>
      <x:c r="E15" s="109"/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</x:row>
    <x:row r="16">
      <x:c r="A16" s="109" t="str">
        <x:v>Intercept</x:v>
      </x:c>
      <x:c r="B16" s="125" t="n">
        <x:v>2.418749626</x:v>
      </x:c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</x:row>
    <x:row r="17">
      <x:c r="A17" s="109" t="str">
        <x:v>Pull-cost score</x:v>
      </x:c>
      <x:c r="B17" s="125" t="n">
        <x:v>0.177451739</x:v>
      </x:c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</x:row>
    <x:row r="18">
      <x:c r="A18" s="109" t="str">
        <x:v>Desirability score</x:v>
      </x:c>
      <x:c r="B18" s="125" t="n">
        <x:v>0.341586702</x:v>
      </x:c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</x:row>
    <x:row r="20">
      <x:c r="A20" s="62" t="str">
        <x:v>Recovered equation: ln(price) = 2.418749626 + 0.177451739 × pull_score + 0.341586702 × desirability_score; price = EXP(the expression).</x:v>
      </x:c>
      <x:c r="B20" s="62"/>
      <x:c r="C20" s="62"/>
      <x:c r="D20" s="62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</x:row>
    <x:row r="21">
      <x:c r="A21" s="62"/>
      <x:c r="B21" s="62"/>
      <x:c r="C21" s="62"/>
      <x:c r="D21" s="62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</x:row>
    <x:row r="23">
      <x:c r="A23" s="22" t="str">
        <x:v>Interpretation</x:v>
      </x:c>
      <x:c r="B23" s="22" t="str">
        <x:v>Calculation</x:v>
      </x:c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</x:row>
    <x:row r="24">
      <x:c r="A24" s="109" t="str">
        <x:v>One pull-score point</x:v>
      </x:c>
      <x:c r="B24" s="128" t="n">
        <x:f>EXP(B17)-1</x:f>
        <x:v>0.19417042465288725</x:v>
      </x:c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</x:row>
    <x:row r="25">
      <x:c r="A25" s="109" t="str">
        <x:v>One desirability point</x:v>
      </x:c>
      <x:c r="B25" s="128" t="n">
        <x:f>EXP(B18)-1</x:f>
        <x:v>0.4071785932155525</x:v>
      </x:c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</x:row>
  </x:sheetData>
  <x:mergeCells>
    <x:mergeCell ref="A1:D2"/>
    <x:mergeCell ref="A20:D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2" hidden="0" customWidth="1"/>
  </x:cols>
  <x:sheetData>
    <x:row r="1">
      <x:c r="A1" s="5" t="str">
        <x:v>22-Row Video Model Reconstruction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109"/>
      <x:c r="Q1" s="109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109"/>
      <x:c r="Q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</x:row>
    <x:row r="4">
      <x:c r="A4" s="22" t="str">
        <x:v>Set</x:v>
      </x:c>
      <x:c r="B4" s="22" t="str">
        <x:v>Chase Card</x:v>
      </x:c>
      <x:c r="C4" s="22" t="str">
        <x:v>Pull Cost ($)</x:v>
      </x:c>
      <x:c r="D4" s="22" t="str">
        <x:v>Displayed Pull Score</x:v>
      </x:c>
      <x:c r="E4" s="22" t="str">
        <x:v>Exact Pull Score</x:v>
      </x:c>
      <x:c r="F4" s="22" t="str">
        <x:v>Displayed Desirability</x:v>
      </x:c>
      <x:c r="G4" s="22" t="str">
        <x:v>Displayed Modeled Price ($)</x:v>
      </x:c>
      <x:c r="H4" s="22" t="str">
        <x:v>Video Market Price ($)</x:v>
      </x:c>
      <x:c r="I4" s="22" t="str">
        <x:v>Price from Shown Coefficients ($)</x:v>
      </x:c>
      <x:c r="J4" s="22" t="str">
        <x:v>Formula − Displayed ($)</x:v>
      </x:c>
      <x:c r="K4" s="22" t="str">
        <x:v>Formula − Displayed (%)</x:v>
      </x:c>
      <x:c r="L4" s="22" t="str">
        <x:v>Desirability Needed for Displayed Price</x:v>
      </x:c>
      <x:c r="M4" s="22" t="str">
        <x:v>Hidden Score Delta</x:v>
      </x:c>
      <x:c r="N4" s="22" t="str">
        <x:v>Video Market − Model ($)</x:v>
      </x:c>
      <x:c r="O4" s="22" t="str">
        <x:v>Video Label</x:v>
      </x:c>
      <x:c r="P4" s="109"/>
      <x:c r="Q4" s="109"/>
    </x:row>
    <x:row r="5">
      <x:c r="A5" s="111" t="str">
        <x:v>Scarlet &amp; Violet</x:v>
      </x:c>
      <x:c r="B5" s="111" t="str">
        <x:v>Gardevoir ex #245</x:v>
      </x:c>
      <x:c r="C5" s="133" t="n">
        <x:v>2522</x:v>
      </x:c>
      <x:c r="D5" s="134" t="n">
        <x:v>1.4</x:v>
      </x:c>
      <x:c r="E5" s="135" t="n">
        <x:f>C5/MAX($C$5:$C$26)*10</x:f>
        <x:v>1.367234088691315</x:v>
      </x:c>
      <x:c r="F5" s="134" t="n">
        <x:v>5.1</x:v>
      </x:c>
      <x:c r="G5" s="133" t="n">
        <x:v>71</x:v>
      </x:c>
      <x:c r="H5" s="133" t="n">
        <x:v>65</x:v>
      </x:c>
      <x:c r="I5" s="136" t="n">
        <x:f>EXP(Regression!$B$16+Regression!$B$17*E5+Regression!$B$18*F5)</x:f>
        <x:v>81.73316639026142</x:v>
      </x:c>
      <x:c r="J5" s="136" t="n">
        <x:f>I5-G5</x:f>
        <x:v>10.733166390261417</x:v>
      </x:c>
      <x:c r="K5" s="128" t="n">
        <x:f>IF(G5=0,0,J5/G5)</x:f>
        <x:v>0.15117135760931572</x:v>
      </x:c>
      <x:c r="L5" s="135" t="n">
        <x:f>(LN(G5)-Regression!$B$16-Regression!$B$17*E5)/Regression!$B$18</x:f>
        <x:v>4.687864530461028</x:v>
      </x:c>
      <x:c r="M5" s="135" t="n">
        <x:f>L5-F5</x:f>
        <x:v>-0.4121354695389714</x:v>
      </x:c>
      <x:c r="N5" s="136" t="n">
        <x:f>H5-G5</x:f>
        <x:v>-6</x:v>
      </x:c>
      <x:c r="O5" s="126" t="str">
        <x:f>IF(ABS(N5)/G5&lt;=0.1,"Congruent",IF(N5&gt;0,"Market Above Model","Market Below Model"))</x:f>
        <x:v>Congruent</x:v>
      </x:c>
      <x:c r="P5" s="109"/>
      <x:c r="Q5" s="109"/>
    </x:row>
    <x:row r="6">
      <x:c r="A6" s="111" t="str">
        <x:v>Paldea Evolved</x:v>
      </x:c>
      <x:c r="B6" s="111" t="str">
        <x:v>Iono #269</x:v>
      </x:c>
      <x:c r="C6" s="133" t="n">
        <x:v>5966</x:v>
      </x:c>
      <x:c r="D6" s="134" t="n">
        <x:v>3.2</x:v>
      </x:c>
      <x:c r="E6" s="135" t="n">
        <x:f>C6/MAX($C$5:$C$26)*10</x:f>
        <x:v>3.234305540496585</x:v>
      </x:c>
      <x:c r="F6" s="134" t="n">
        <x:v>3.9</x:v>
      </x:c>
      <x:c r="G6" s="133" t="n">
        <x:v>79</x:v>
      </x:c>
      <x:c r="H6" s="133" t="n">
        <x:v>50</x:v>
      </x:c>
      <x:c r="I6" s="136" t="n">
        <x:f>EXP(Regression!$B$16+Regression!$B$17*E6+Regression!$B$18*F6)</x:f>
        <x:v>75.55575846665849</x:v>
      </x:c>
      <x:c r="J6" s="136" t="n">
        <x:f>I6-G6</x:f>
        <x:v>-3.4442415333415113</x:v>
      </x:c>
      <x:c r="K6" s="128" t="n">
        <x:f>IF(G6=0,0,J6/G6)</x:f>
        <x:v>-0.043597994092930525</x:v>
      </x:c>
      <x:c r="L6" s="135" t="n">
        <x:f>(LN(G6)-Regression!$B$16-Regression!$B$17*E6)/Regression!$B$18</x:f>
        <x:v>4.0304996529067685</x:v>
      </x:c>
      <x:c r="M6" s="135" t="n">
        <x:f>L6-F6</x:f>
        <x:v>0.13049965290676857</x:v>
      </x:c>
      <x:c r="N6" s="136" t="n">
        <x:f>H6-G6</x:f>
        <x:v>-29</x:v>
      </x:c>
      <x:c r="O6" s="126" t="str">
        <x:f>IF(ABS(N6)/G6&lt;=0.1,"Congruent",IF(N6&gt;0,"Market Above Model","Market Below Model"))</x:f>
        <x:v>Market Below Model</x:v>
      </x:c>
      <x:c r="P6" s="109"/>
      <x:c r="Q6" s="109"/>
    </x:row>
    <x:row r="7">
      <x:c r="A7" s="111" t="str">
        <x:v>Obsidian Flames</x:v>
      </x:c>
      <x:c r="B7" s="111" t="str">
        <x:v>Charizard ex #223</x:v>
      </x:c>
      <x:c r="C7" s="133" t="n">
        <x:v>2196</x:v>
      </x:c>
      <x:c r="D7" s="134" t="n">
        <x:v>1.2</x:v>
      </x:c>
      <x:c r="E7" s="135" t="n">
        <x:f>C7/MAX($C$5:$C$26)*10</x:f>
        <x:v>1.1905020058549278</x:v>
      </x:c>
      <x:c r="F7" s="134" t="n">
        <x:v>7.8</x:v>
      </x:c>
      <x:c r="G7" s="133" t="n">
        <x:v>166</x:v>
      </x:c>
      <x:c r="H7" s="133" t="n">
        <x:v>90</x:v>
      </x:c>
      <x:c r="I7" s="136" t="n">
        <x:f>EXP(Regression!$B$16+Regression!$B$17*E7+Regression!$B$18*F7)</x:f>
        <x:v>199.21458350195792</x:v>
      </x:c>
      <x:c r="J7" s="136" t="n">
        <x:f>I7-G7</x:f>
        <x:v>33.21458350195792</x:v>
      </x:c>
      <x:c r="K7" s="128" t="n">
        <x:f>IF(G7=0,0,J7/G7)</x:f>
        <x:v>0.20008785242143323</x:v>
      </x:c>
      <x:c r="L7" s="135" t="n">
        <x:f>(LN(G7)-Regression!$B$16-Regression!$B$17*E7)/Regression!$B$18</x:f>
        <x:v>7.266036694644509</x:v>
      </x:c>
      <x:c r="M7" s="135" t="n">
        <x:f>L7-F7</x:f>
        <x:v>-0.5339633053554911</x:v>
      </x:c>
      <x:c r="N7" s="136" t="n">
        <x:f>H7-G7</x:f>
        <x:v>-76</x:v>
      </x:c>
      <x:c r="O7" s="126" t="str">
        <x:f>IF(ABS(N7)/G7&lt;=0.1,"Congruent",IF(N7&gt;0,"Market Above Model","Market Below Model"))</x:f>
        <x:v>Market Below Model</x:v>
      </x:c>
      <x:c r="P7" s="109"/>
      <x:c r="Q7" s="109"/>
    </x:row>
    <x:row r="8">
      <x:c r="A8" s="111" t="str">
        <x:v>Scarlet &amp; Violet 151</x:v>
      </x:c>
      <x:c r="B8" s="111" t="str">
        <x:v>Charizard ex #199</x:v>
      </x:c>
      <x:c r="C8" s="133" t="n">
        <x:v>6671</x:v>
      </x:c>
      <x:c r="D8" s="134" t="n">
        <x:v>3.6</x:v>
      </x:c>
      <x:c r="E8" s="135" t="n">
        <x:f>C8/MAX($C$5:$C$26)*10</x:f>
        <x:v>3.6165022227041095</x:v>
      </x:c>
      <x:c r="F8" s="134" t="n">
        <x:v>9.1</x:v>
      </x:c>
      <x:c r="G8" s="133" t="n">
        <x:v>522</x:v>
      </x:c>
      <x:c r="H8" s="133" t="n">
        <x:v>403</x:v>
      </x:c>
      <x:c r="I8" s="136" t="n">
        <x:f>EXP(Regression!$B$16+Regression!$B$17*E8+Regression!$B$18*F8)</x:f>
        <x:v>477.68103679480424</x:v>
      </x:c>
      <x:c r="J8" s="136" t="n">
        <x:f>I8-G8</x:f>
        <x:v>-44.31896320519576</x:v>
      </x:c>
      <x:c r="K8" s="128" t="n">
        <x:f>IF(G8=0,0,J8/G8)</x:f>
        <x:v>-0.08490222836244397</x:v>
      </x:c>
      <x:c r="L8" s="135" t="n">
        <x:f>(LN(G8)-Regression!$B$16-Regression!$B$17*E8)/Regression!$B$18</x:f>
        <x:v>9.359741859524817</x:v>
      </x:c>
      <x:c r="M8" s="135" t="n">
        <x:f>L8-F8</x:f>
        <x:v>0.25974185952481754</x:v>
      </x:c>
      <x:c r="N8" s="136" t="n">
        <x:f>H8-G8</x:f>
        <x:v>-119</x:v>
      </x:c>
      <x:c r="O8" s="126" t="str">
        <x:f>IF(ABS(N8)/G8&lt;=0.1,"Congruent",IF(N8&gt;0,"Market Above Model","Market Below Model"))</x:f>
        <x:v>Market Below Model</x:v>
      </x:c>
      <x:c r="P8" s="109"/>
      <x:c r="Q8" s="109"/>
    </x:row>
    <x:row r="9">
      <x:c r="A9" s="111" t="str">
        <x:v>Paradox Rift</x:v>
      </x:c>
      <x:c r="B9" s="111" t="str">
        <x:v>Altaria ex #253</x:v>
      </x:c>
      <x:c r="C9" s="133" t="n">
        <x:v>4935</x:v>
      </x:c>
      <x:c r="D9" s="134" t="n">
        <x:v>2.7</x:v>
      </x:c>
      <x:c r="E9" s="135" t="n">
        <x:f>C9/MAX($C$5:$C$26)*10</x:f>
        <x:v>2.6753767754526727</x:v>
      </x:c>
      <x:c r="F9" s="134" t="n">
        <x:v>2.7</x:v>
      </x:c>
      <x:c r="G9" s="133" t="n">
        <x:v>47</x:v>
      </x:c>
      <x:c r="H9" s="133" t="n">
        <x:v>45</x:v>
      </x:c>
      <x:c r="I9" s="136" t="n">
        <x:f>EXP(Regression!$B$16+Regression!$B$17*E9+Regression!$B$18*F9)</x:f>
        <x:v>45.41234492279738</x:v>
      </x:c>
      <x:c r="J9" s="136" t="n">
        <x:f>I9-G9</x:f>
        <x:v>-1.5876550772026192</x:v>
      </x:c>
      <x:c r="K9" s="128" t="n">
        <x:f>IF(G9=0,0,J9/G9)</x:f>
        <x:v>-0.0337798952596302</x:v>
      </x:c>
      <x:c r="L9" s="135" t="n">
        <x:f>(LN(G9)-Regression!$B$16-Regression!$B$17*E9)/Regression!$B$18</x:f>
        <x:v>2.8005999906453303</x:v>
      </x:c>
      <x:c r="M9" s="135" t="n">
        <x:f>L9-F9</x:f>
        <x:v>0.1005999906453301</x:v>
      </x:c>
      <x:c r="N9" s="136" t="n">
        <x:f>H9-G9</x:f>
        <x:v>-2</x:v>
      </x:c>
      <x:c r="O9" s="126" t="str">
        <x:f>IF(ABS(N9)/G9&lt;=0.1,"Congruent",IF(N9&gt;0,"Market Above Model","Market Below Model"))</x:f>
        <x:v>Congruent</x:v>
      </x:c>
      <x:c r="P9" s="109"/>
      <x:c r="Q9" s="109"/>
    </x:row>
    <x:row r="10">
      <x:c r="A10" s="111" t="str">
        <x:v>Paldean Fates</x:v>
      </x:c>
      <x:c r="B10" s="111" t="str">
        <x:v>Mew ex #232</x:v>
      </x:c>
      <x:c r="C10" s="133" t="n">
        <x:v>9067</x:v>
      </x:c>
      <x:c r="D10" s="134" t="n">
        <x:v>4.9</x:v>
      </x:c>
      <x:c r="E10" s="135" t="n">
        <x:f>C10/MAX($C$5:$C$26)*10</x:f>
        <x:v>4.915428819256207</x:v>
      </x:c>
      <x:c r="F10" s="134" t="n">
        <x:v>8.9</x:v>
      </x:c>
      <x:c r="G10" s="133" t="n">
        <x:v>624</x:v>
      </x:c>
      <x:c r="H10" s="133" t="n">
        <x:v>640</x:v>
      </x:c>
      <x:c r="I10" s="136" t="n">
        <x:f>EXP(Regression!$B$16+Regression!$B$17*E10+Regression!$B$18*F10)</x:f>
        <x:v>561.7869388847462</x:v>
      </x:c>
      <x:c r="J10" s="136" t="n">
        <x:f>I10-G10</x:f>
        <x:v>-62.21306111525382</x:v>
      </x:c>
      <x:c r="K10" s="128" t="n">
        <x:f>IF(G10=0,0,J10/G10)</x:f>
        <x:v>-0.0997004184539324</x:v>
      </x:c>
      <x:c r="L10" s="135" t="n">
        <x:f>(LN(G10)-Regression!$B$16-Regression!$B$17*E10)/Regression!$B$18</x:f>
        <x:v>9.207470115337504</x:v>
      </x:c>
      <x:c r="M10" s="135" t="n">
        <x:f>L10-F10</x:f>
        <x:v>0.30747011533750346</x:v>
      </x:c>
      <x:c r="N10" s="136" t="n">
        <x:f>H10-G10</x:f>
        <x:v>16</x:v>
      </x:c>
      <x:c r="O10" s="126" t="str">
        <x:f>IF(ABS(N10)/G10&lt;=0.1,"Congruent",IF(N10&gt;0,"Market Above Model","Market Below Model"))</x:f>
        <x:v>Congruent</x:v>
      </x:c>
      <x:c r="P10" s="109"/>
      <x:c r="Q10" s="109"/>
    </x:row>
    <x:row r="11">
      <x:c r="A11" s="111" t="str">
        <x:v>Paldean Fates</x:v>
      </x:c>
      <x:c r="B11" s="111" t="str">
        <x:v>Charizard ex #234</x:v>
      </x:c>
      <x:c r="C11" s="133" t="n">
        <x:v>9067</x:v>
      </x:c>
      <x:c r="D11" s="134" t="n">
        <x:v>4.9</x:v>
      </x:c>
      <x:c r="E11" s="135" t="n">
        <x:f>C11/MAX($C$5:$C$26)*10</x:f>
        <x:v>4.915428819256207</x:v>
      </x:c>
      <x:c r="F11" s="134" t="n">
        <x:v>7.8</x:v>
      </x:c>
      <x:c r="G11" s="133" t="n">
        <x:v>422</x:v>
      </x:c>
      <x:c r="H11" s="133" t="n">
        <x:v>240</x:v>
      </x:c>
      <x:c r="I11" s="136" t="n">
        <x:f>EXP(Regression!$B$16+Regression!$B$17*E11+Regression!$B$18*F11)</x:f>
        <x:v>385.822451526583</x:v>
      </x:c>
      <x:c r="J11" s="136" t="n">
        <x:f>I11-G11</x:f>
        <x:v>-36.177548473417005</x:v>
      </x:c>
      <x:c r="K11" s="128" t="n">
        <x:f>IF(G11=0,0,J11/G11)</x:f>
        <x:v>-0.08572878785169906</x:v>
      </x:c>
      <x:c r="L11" s="135" t="n">
        <x:f>(LN(G11)-Regression!$B$16-Regression!$B$17*E11)/Regression!$B$18</x:f>
        <x:v>8.062387323638498</x:v>
      </x:c>
      <x:c r="M11" s="135" t="n">
        <x:f>L11-F11</x:f>
        <x:v>0.2623873236384986</x:v>
      </x:c>
      <x:c r="N11" s="136" t="n">
        <x:f>H11-G11</x:f>
        <x:v>-182</x:v>
      </x:c>
      <x:c r="O11" s="126" t="str">
        <x:f>IF(ABS(N11)/G11&lt;=0.1,"Congruent",IF(N11&gt;0,"Market Above Model","Market Below Model"))</x:f>
        <x:v>Market Below Model</x:v>
      </x:c>
      <x:c r="P11" s="109"/>
      <x:c r="Q11" s="109"/>
    </x:row>
    <x:row r="12">
      <x:c r="A12" s="111" t="str">
        <x:v>Temporal Forces</x:v>
      </x:c>
      <x:c r="B12" s="111" t="str">
        <x:v>Raging Bolt ex #208</x:v>
      </x:c>
      <x:c r="C12" s="133" t="n">
        <x:v>8024</x:v>
      </x:c>
      <x:c r="D12" s="134" t="n">
        <x:v>4.3</x:v>
      </x:c>
      <x:c r="E12" s="135" t="n">
        <x:f>C12/MAX($C$5:$C$26)*10</x:f>
        <x:v>4.349994578770465</x:v>
      </x:c>
      <x:c r="F12" s="134" t="n">
        <x:v>3.4</x:v>
      </x:c>
      <x:c r="G12" s="133" t="n">
        <x:v>84</x:v>
      </x:c>
      <x:c r="H12" s="133" t="n">
        <x:v>61</x:v>
      </x:c>
      <x:c r="I12" s="136" t="n">
        <x:f>EXP(Regression!$B$16+Regression!$B$17*E12+Regression!$B$18*F12)</x:f>
        <x:v>77.63811780736502</x:v>
      </x:c>
      <x:c r="J12" s="136" t="n">
        <x:f>I12-G12</x:f>
        <x:v>-6.36188219263498</x:v>
      </x:c>
      <x:c r="K12" s="128" t="n">
        <x:f>IF(G12=0,0,J12/G12)</x:f>
        <x:v>-0.07573669276946404</x:v>
      </x:c>
      <x:c r="L12" s="135" t="n">
        <x:f>(LN(G12)-Regression!$B$16-Regression!$B$17*E12)/Regression!$B$18</x:f>
        <x:v>3.630566011319498</x:v>
      </x:c>
      <x:c r="M12" s="135" t="n">
        <x:f>L12-F12</x:f>
        <x:v>0.23056601131949828</x:v>
      </x:c>
      <x:c r="N12" s="136" t="n">
        <x:f>H12-G12</x:f>
        <x:v>-23</x:v>
      </x:c>
      <x:c r="O12" s="126" t="str">
        <x:f>IF(ABS(N12)/G12&lt;=0.1,"Congruent",IF(N12&gt;0,"Market Above Model","Market Below Model"))</x:f>
        <x:v>Market Below Model</x:v>
      </x:c>
      <x:c r="P12" s="109"/>
      <x:c r="Q12" s="109"/>
    </x:row>
    <x:row r="13">
      <x:c r="A13" s="111" t="str">
        <x:v>Twilight Masquerade</x:v>
      </x:c>
      <x:c r="B13" s="111" t="str">
        <x:v>Greninja ex #214</x:v>
      </x:c>
      <x:c r="C13" s="133" t="n">
        <x:v>8353</x:v>
      </x:c>
      <x:c r="D13" s="134" t="n">
        <x:v>4.5</x:v>
      </x:c>
      <x:c r="E13" s="135" t="n">
        <x:f>C13/MAX($C$5:$C$26)*10</x:f>
        <x:v>4.52835303046731</x:v>
      </x:c>
      <x:c r="F13" s="134" t="n">
        <x:v>6.2</x:v>
      </x:c>
      <x:c r="G13" s="133" t="n">
        <x:v>231</x:v>
      </x:c>
      <x:c r="H13" s="133" t="n">
        <x:v>278</x:v>
      </x:c>
      <x:c r="I13" s="136" t="n">
        <x:f>EXP(Regression!$B$16+Regression!$B$17*E13+Regression!$B$18*F13)</x:f>
        <x:v>208.5442603282183</x:v>
      </x:c>
      <x:c r="J13" s="136" t="n">
        <x:f>I13-G13</x:f>
        <x:v>-22.455739671781714</x:v>
      </x:c>
      <x:c r="K13" s="128" t="n">
        <x:f>IF(G13=0,0,J13/G13)</x:f>
        <x:v>-0.0972109942501373</x:v>
      </x:c>
      <x:c r="L13" s="135" t="n">
        <x:f>(LN(G13)-Regression!$B$16-Regression!$B$17*E13)/Regression!$B$18</x:f>
        <x:v>6.49938639724754</x:v>
      </x:c>
      <x:c r="M13" s="135" t="n">
        <x:f>L13-F13</x:f>
        <x:v>0.2993863972475399</x:v>
      </x:c>
      <x:c r="N13" s="136" t="n">
        <x:f>H13-G13</x:f>
        <x:v>47</x:v>
      </x:c>
      <x:c r="O13" s="126" t="str">
        <x:f>IF(ABS(N13)/G13&lt;=0.1,"Congruent",IF(N13&gt;0,"Market Above Model","Market Below Model"))</x:f>
        <x:v>Market Above Model</x:v>
      </x:c>
      <x:c r="P13" s="109"/>
      <x:c r="Q13" s="109"/>
    </x:row>
    <x:row r="14">
      <x:c r="A14" s="111" t="str">
        <x:v>Shrouded Fable</x:v>
      </x:c>
      <x:c r="B14" s="111" t="str">
        <x:v>Fezandipiti ex #92</x:v>
      </x:c>
      <x:c r="C14" s="133" t="n">
        <x:v>2673</x:v>
      </x:c>
      <x:c r="D14" s="134" t="n">
        <x:v>1.4</x:v>
      </x:c>
      <x:c r="E14" s="135" t="n">
        <x:f>C14/MAX($C$5:$C$26)*10</x:f>
        <x:v>1.4490946546676786</x:v>
      </x:c>
      <x:c r="F14" s="134" t="n">
        <x:v>2.6</x:v>
      </x:c>
      <x:c r="G14" s="133" t="n">
        <x:v>31</x:v>
      </x:c>
      <x:c r="H14" s="133" t="n">
        <x:v>42</x:v>
      </x:c>
      <x:c r="I14" s="136" t="n">
        <x:f>EXP(Regression!$B$16+Regression!$B$17*E14+Regression!$B$18*F14)</x:f>
        <x:v>35.30481714451294</x:v>
      </x:c>
      <x:c r="J14" s="136" t="n">
        <x:f>I14-G14</x:f>
        <x:v>4.304817144512938</x:v>
      </x:c>
      <x:c r="K14" s="128" t="n">
        <x:f>IF(G14=0,0,J14/G14)</x:f>
        <x:v>0.13886506917783673</x:v>
      </x:c>
      <x:c r="L14" s="135" t="n">
        <x:f>(LN(G14)-Regression!$B$16-Regression!$B$17*E14)/Regression!$B$18</x:f>
        <x:v>2.219328819301526</x:v>
      </x:c>
      <x:c r="M14" s="135" t="n">
        <x:f>L14-F14</x:f>
        <x:v>-0.38067118069847394</x:v>
      </x:c>
      <x:c r="N14" s="136" t="n">
        <x:f>H14-G14</x:f>
        <x:v>11</x:v>
      </x:c>
      <x:c r="O14" s="126" t="str">
        <x:f>IF(ABS(N14)/G14&lt;=0.1,"Congruent",IF(N14&gt;0,"Market Above Model","Market Below Model"))</x:f>
        <x:v>Market Above Model</x:v>
      </x:c>
      <x:c r="P14" s="109"/>
      <x:c r="Q14" s="109"/>
    </x:row>
    <x:row r="15">
      <x:c r="A15" s="111" t="str">
        <x:v>Stellar Crown</x:v>
      </x:c>
      <x:c r="B15" s="111" t="str">
        <x:v>Dachsbun ex #169</x:v>
      </x:c>
      <x:c r="C15" s="133" t="n">
        <x:v>4892</x:v>
      </x:c>
      <x:c r="D15" s="134" t="n">
        <x:v>2.7</x:v>
      </x:c>
      <x:c r="E15" s="135" t="n">
        <x:f>C15/MAX($C$5:$C$26)*10</x:f>
        <x:v>2.6520654884527812</x:v>
      </x:c>
      <x:c r="F15" s="134" t="n">
        <x:v>1.9</x:v>
      </x:c>
      <x:c r="G15" s="133" t="n">
        <x:v>35</x:v>
      </x:c>
      <x:c r="H15" s="133" t="n">
        <x:v>33</x:v>
      </x:c>
      <x:c r="I15" s="136" t="n">
        <x:f>EXP(Regression!$B$16+Regression!$B$17*E15+Regression!$B$18*F15)</x:f>
        <x:v>34.41105891035173</x:v>
      </x:c>
      <x:c r="J15" s="136" t="n">
        <x:f>I15-G15</x:f>
        <x:v>-0.588941089648273</x:v>
      </x:c>
      <x:c r="K15" s="128" t="n">
        <x:f>IF(G15=0,0,J15/G15)</x:f>
        <x:v>-0.01682688827566494</x:v>
      </x:c>
      <x:c r="L15" s="135" t="n">
        <x:f>(LN(G15)-Regression!$B$16-Regression!$B$17*E15)/Regression!$B$18</x:f>
        <x:v>1.9496801213929669</x:v>
      </x:c>
      <x:c r="M15" s="135" t="n">
        <x:f>L15-F15</x:f>
        <x:v>0.04968012139296696</x:v>
      </x:c>
      <x:c r="N15" s="136" t="n">
        <x:f>H15-G15</x:f>
        <x:v>-2</x:v>
      </x:c>
      <x:c r="O15" s="126" t="str">
        <x:f>IF(ABS(N15)/G15&lt;=0.1,"Congruent",IF(N15&gt;0,"Market Above Model","Market Below Model"))</x:f>
        <x:v>Congruent</x:v>
      </x:c>
      <x:c r="P15" s="109"/>
      <x:c r="Q15" s="109"/>
    </x:row>
    <x:row r="16">
      <x:c r="A16" s="111" t="str">
        <x:v>Surging Sparks</x:v>
      </x:c>
      <x:c r="B16" s="111" t="str">
        <x:v>Pikachu ex #238</x:v>
      </x:c>
      <x:c r="C16" s="133" t="n">
        <x:v>7627</x:v>
      </x:c>
      <x:c r="D16" s="134" t="n">
        <x:v>4.1</x:v>
      </x:c>
      <x:c r="E16" s="135" t="n">
        <x:f>C16/MAX($C$5:$C$26)*10</x:f>
        <x:v>4.134771766236582</x:v>
      </x:c>
      <x:c r="F16" s="134" t="n">
        <x:v>7</x:v>
      </x:c>
      <x:c r="G16" s="133" t="n">
        <x:v>280</x:v>
      </x:c>
      <x:c r="H16" s="133" t="n">
        <x:v>263</x:v>
      </x:c>
      <x:c r="I16" s="136" t="n">
        <x:f>EXP(Regression!$B$16+Regression!$B$17*E16+Regression!$B$18*F16)</x:f>
        <x:v>255.59112004369356</x:v>
      </x:c>
      <x:c r="J16" s="136" t="n">
        <x:f>I16-G16</x:f>
        <x:v>-24.408879956306436</x:v>
      </x:c>
      <x:c r="K16" s="128" t="n">
        <x:f>IF(G16=0,0,J16/G16)</x:f>
        <x:v>-0.08717457127252298</x:v>
      </x:c>
      <x:c r="L16" s="135" t="n">
        <x:f>(LN(G16)-Regression!$B$16-Regression!$B$17*E16)/Regression!$B$18</x:f>
        <x:v>7.267020414871029</x:v>
      </x:c>
      <x:c r="M16" s="135" t="n">
        <x:f>L16-F16</x:f>
        <x:v>0.2670204148710287</x:v>
      </x:c>
      <x:c r="N16" s="136" t="n">
        <x:f>H16-G16</x:f>
        <x:v>-17</x:v>
      </x:c>
      <x:c r="O16" s="126" t="str">
        <x:f>IF(ABS(N16)/G16&lt;=0.1,"Congruent",IF(N16&gt;0,"Market Above Model","Market Below Model"))</x:f>
        <x:v>Congruent</x:v>
      </x:c>
      <x:c r="P16" s="109"/>
      <x:c r="Q16" s="109"/>
    </x:row>
    <x:row r="17">
      <x:c r="A17" s="111" t="str">
        <x:v>Prismatic Evolutions</x:v>
      </x:c>
      <x:c r="B17" s="111" t="str">
        <x:v>Umbreon ex #161</x:v>
      </x:c>
      <x:c r="C17" s="133" t="n">
        <x:v>18446</x:v>
      </x:c>
      <x:c r="D17" s="134" t="n">
        <x:v>10</x:v>
      </x:c>
      <x:c r="E17" s="135" t="n">
        <x:f>C17/MAX($C$5:$C$26)*10</x:f>
        <x:v>10</x:v>
      </x:c>
      <x:c r="F17" s="134" t="n">
        <x:v>8.7</x:v>
      </x:c>
      <x:c r="G17" s="133" t="n">
        <x:v>1236</x:v>
      </x:c>
      <x:c r="H17" s="133" t="n">
        <x:v>1050</x:v>
      </x:c>
      <x:c r="I17" s="136" t="n">
        <x:f>EXP(Regression!$B$16+Regression!$B$17*E17+Regression!$B$18*F17)</x:f>
        <x:v>1293.4538510378213</x:v>
      </x:c>
      <x:c r="J17" s="136" t="n">
        <x:f>I17-G17</x:f>
        <x:v>57.45385103782132</x:v>
      </x:c>
      <x:c r="K17" s="128" t="n">
        <x:f>IF(G17=0,0,J17/G17)</x:f>
        <x:v>0.0464836982506645</x:v>
      </x:c>
      <x:c r="L17" s="135" t="n">
        <x:f>(LN(G17)-Regression!$B$16-Regression!$B$17*E17)/Regression!$B$18</x:f>
        <x:v>8.566986375299924</x:v>
      </x:c>
      <x:c r="M17" s="135" t="n">
        <x:f>L17-F17</x:f>
        <x:v>-0.13301362470007483</x:v>
      </x:c>
      <x:c r="N17" s="136" t="n">
        <x:f>H17-G17</x:f>
        <x:v>-186</x:v>
      </x:c>
      <x:c r="O17" s="126" t="str">
        <x:f>IF(ABS(N17)/G17&lt;=0.1,"Congruent",IF(N17&gt;0,"Market Above Model","Market Below Model"))</x:f>
        <x:v>Market Below Model</x:v>
      </x:c>
      <x:c r="P17" s="109"/>
      <x:c r="Q17" s="109"/>
    </x:row>
    <x:row r="18">
      <x:c r="A18" s="111" t="str">
        <x:v>Journey Together</x:v>
      </x:c>
      <x:c r="B18" s="111" t="str">
        <x:v>Lillie's Clefairy ex #184</x:v>
      </x:c>
      <x:c r="C18" s="133" t="n">
        <x:v>3839</x:v>
      </x:c>
      <x:c r="D18" s="134" t="n">
        <x:v>2.1</x:v>
      </x:c>
      <x:c r="E18" s="135" t="n">
        <x:f>C18/MAX($C$5:$C$26)*10</x:f>
        <x:v>2.0812100184321807</x:v>
      </x:c>
      <x:c r="F18" s="134" t="n">
        <x:v>5.2</x:v>
      </x:c>
      <x:c r="G18" s="133" t="n">
        <x:v>95</x:v>
      </x:c>
      <x:c r="H18" s="133" t="n">
        <x:v>128</x:v>
      </x:c>
      <x:c r="I18" s="136" t="n">
        <x:f>EXP(Regression!$B$16+Regression!$B$17*E18+Regression!$B$18*F18)</x:f>
        <x:v>95.9967957584849</x:v>
      </x:c>
      <x:c r="J18" s="136" t="n">
        <x:f>I18-G18</x:f>
        <x:v>0.9967957584848932</x:v>
      </x:c>
      <x:c r="K18" s="128" t="n">
        <x:f>IF(G18=0,0,J18/G18)</x:f>
        <x:v>0.010492586931419929</x:v>
      </x:c>
      <x:c r="L18" s="135" t="n">
        <x:f>(LN(G18)-Regression!$B$16-Regression!$B$17*E18)/Regression!$B$18</x:f>
        <x:v>5.16944283330306</x:v>
      </x:c>
      <x:c r="M18" s="135" t="n">
        <x:f>L18-F18</x:f>
        <x:v>-0.030557166696939753</x:v>
      </x:c>
      <x:c r="N18" s="136" t="n">
        <x:f>H18-G18</x:f>
        <x:v>33</x:v>
      </x:c>
      <x:c r="O18" s="126" t="str">
        <x:f>IF(ABS(N18)/G18&lt;=0.1,"Congruent",IF(N18&gt;0,"Market Above Model","Market Below Model"))</x:f>
        <x:v>Market Above Model</x:v>
      </x:c>
      <x:c r="P18" s="109"/>
      <x:c r="Q18" s="109"/>
    </x:row>
    <x:row r="19">
      <x:c r="A19" s="111" t="str">
        <x:v>Destined Rivals</x:v>
      </x:c>
      <x:c r="B19" s="111" t="str">
        <x:v>Team Rocket's Mewtwo ex #231</x:v>
      </x:c>
      <x:c r="C19" s="133" t="n">
        <x:v>9471</x:v>
      </x:c>
      <x:c r="D19" s="134" t="n">
        <x:v>5.1</x:v>
      </x:c>
      <x:c r="E19" s="135" t="n">
        <x:f>C19/MAX($C$5:$C$26)*10</x:f>
        <x:v>5.134446492464491</x:v>
      </x:c>
      <x:c r="F19" s="134" t="n">
        <x:v>7.1</x:v>
      </x:c>
      <x:c r="G19" s="133" t="n">
        <x:v>353</x:v>
      </x:c>
      <x:c r="H19" s="133" t="n">
        <x:v>468</x:v>
      </x:c>
      <x:c r="I19" s="136" t="n">
        <x:f>EXP(Regression!$B$16+Regression!$B$17*E19+Regression!$B$18*F19)</x:f>
        <x:v>315.8071268238819</x:v>
      </x:c>
      <x:c r="J19" s="136" t="n">
        <x:f>I19-G19</x:f>
        <x:v>-37.1928731761181</x:v>
      </x:c>
      <x:c r="K19" s="128" t="n">
        <x:f>IF(G19=0,0,J19/G19)</x:f>
        <x:v>-0.10536224695784163</x:v>
      </x:c>
      <x:c r="L19" s="135" t="n">
        <x:f>(LN(G19)-Regression!$B$16-Regression!$B$17*E19)/Regression!$B$18</x:f>
        <x:v>7.425938882254913</x:v>
      </x:c>
      <x:c r="M19" s="135" t="n">
        <x:f>L19-F19</x:f>
        <x:v>0.3259388822549134</x:v>
      </x:c>
      <x:c r="N19" s="136" t="n">
        <x:f>H19-G19</x:f>
        <x:v>115</x:v>
      </x:c>
      <x:c r="O19" s="126" t="str">
        <x:f>IF(ABS(N19)/G19&lt;=0.1,"Congruent",IF(N19&gt;0,"Market Above Model","Market Below Model"))</x:f>
        <x:v>Market Above Model</x:v>
      </x:c>
      <x:c r="P19" s="109"/>
      <x:c r="Q19" s="109"/>
    </x:row>
    <x:row r="20">
      <x:c r="A20" s="111" t="str">
        <x:v>White Flare</x:v>
      </x:c>
      <x:c r="B20" s="111" t="str">
        <x:v>Reshiram ex #166</x:v>
      </x:c>
      <x:c r="C20" s="133" t="n">
        <x:v>4995</x:v>
      </x:c>
      <x:c r="D20" s="134" t="n">
        <x:v>2.7</x:v>
      </x:c>
      <x:c r="E20" s="135" t="n">
        <x:f>C20/MAX($C$5:$C$26)*10</x:f>
        <x:v>2.7079041526618237</x:v>
      </x:c>
      <x:c r="F20" s="134" t="n">
        <x:v>5.8</x:v>
      </x:c>
      <x:c r="G20" s="133" t="n">
        <x:v>137</x:v>
      </x:c>
      <x:c r="H20" s="133" t="n">
        <x:v>147</x:v>
      </x:c>
      <x:c r="I20" s="136" t="n">
        <x:f>EXP(Regression!$B$16+Regression!$B$17*E20+Regression!$B$18*F20)</x:f>
        <x:v>131.69317677156454</x:v>
      </x:c>
      <x:c r="J20" s="136" t="n">
        <x:f>I20-G20</x:f>
        <x:v>-5.306823228435462</x:v>
      </x:c>
      <x:c r="K20" s="128" t="n">
        <x:f>IF(G20=0,0,J20/G20)</x:f>
        <x:v>-0.03873593597398148</x:v>
      </x:c>
      <x:c r="L20" s="135" t="n">
        <x:f>(LN(G20)-Regression!$B$16-Regression!$B$17*E20)/Regression!$B$18</x:f>
        <x:v>5.915654757815961</x:v>
      </x:c>
      <x:c r="M20" s="135" t="n">
        <x:f>L20-F20</x:f>
        <x:v>0.11565475781596124</x:v>
      </x:c>
      <x:c r="N20" s="136" t="n">
        <x:f>H20-G20</x:f>
        <x:v>10</x:v>
      </x:c>
      <x:c r="O20" s="126" t="str">
        <x:f>IF(ABS(N20)/G20&lt;=0.1,"Congruent",IF(N20&gt;0,"Market Above Model","Market Below Model"))</x:f>
        <x:v>Congruent</x:v>
      </x:c>
      <x:c r="P20" s="109"/>
      <x:c r="Q20" s="109"/>
    </x:row>
    <x:row r="21">
      <x:c r="A21" s="111" t="str">
        <x:v>Black Bolt</x:v>
      </x:c>
      <x:c r="B21" s="111" t="str">
        <x:v>Zekrom ex #166</x:v>
      </x:c>
      <x:c r="C21" s="133" t="n">
        <x:v>5247</x:v>
      </x:c>
      <x:c r="D21" s="134" t="n">
        <x:v>2.8</x:v>
      </x:c>
      <x:c r="E21" s="135" t="n">
        <x:f>C21/MAX($C$5:$C$26)*10</x:f>
        <x:v>2.844519136940258</x:v>
      </x:c>
      <x:c r="F21" s="134" t="n">
        <x:v>6.2</x:v>
      </x:c>
      <x:c r="G21" s="133" t="n">
        <x:v>164</x:v>
      </x:c>
      <x:c r="H21" s="133" t="n">
        <x:v>195</x:v>
      </x:c>
      <x:c r="I21" s="136" t="n">
        <x:f>EXP(Regression!$B$16+Regression!$B$17*E21+Regression!$B$18*F21)</x:f>
        <x:v>154.67900682297537</x:v>
      </x:c>
      <x:c r="J21" s="136" t="n">
        <x:f>I21-G21</x:f>
        <x:v>-9.320993177024633</x:v>
      </x:c>
      <x:c r="K21" s="128" t="n">
        <x:f>IF(G21=0,0,J21/G21)</x:f>
        <x:v>-0.0568353242501502</x:v>
      </x:c>
      <x:c r="L21" s="135" t="n">
        <x:f>(LN(G21)-Regression!$B$16-Regression!$B$17*E21)/Regression!$B$18</x:f>
        <x:v>6.371301697673732</x:v>
      </x:c>
      <x:c r="M21" s="135" t="n">
        <x:f>L21-F21</x:f>
        <x:v>0.17130169767373182</x:v>
      </x:c>
      <x:c r="N21" s="136" t="n">
        <x:f>H21-G21</x:f>
        <x:v>31</x:v>
      </x:c>
      <x:c r="O21" s="126" t="str">
        <x:f>IF(ABS(N21)/G21&lt;=0.1,"Congruent",IF(N21&gt;0,"Market Above Model","Market Below Model"))</x:f>
        <x:v>Market Above Model</x:v>
      </x:c>
      <x:c r="P21" s="109"/>
      <x:c r="Q21" s="109"/>
    </x:row>
    <x:row r="22">
      <x:c r="A22" s="111" t="str">
        <x:v>Mega Evolution</x:v>
      </x:c>
      <x:c r="B22" s="111" t="str">
        <x:v>Mega Gardevoir ex #178</x:v>
      </x:c>
      <x:c r="C22" s="133" t="n">
        <x:v>8787</x:v>
      </x:c>
      <x:c r="D22" s="134" t="n">
        <x:v>4.8</x:v>
      </x:c>
      <x:c r="E22" s="135" t="n">
        <x:f>C22/MAX($C$5:$C$26)*10</x:f>
        <x:v>4.763634392280169</x:v>
      </x:c>
      <x:c r="F22" s="134" t="n">
        <x:v>5.5</x:v>
      </x:c>
      <x:c r="G22" s="133" t="n">
        <x:v>191</x:v>
      </x:c>
      <x:c r="H22" s="133" t="n">
        <x:v>167</x:v>
      </x:c>
      <x:c r="I22" s="136" t="n">
        <x:f>EXP(Regression!$B$16+Regression!$B$17*E22+Regression!$B$18*F22)</x:f>
        <x:v>171.19302034613182</x:v>
      </x:c>
      <x:c r="J22" s="136" t="n">
        <x:f>I22-G22</x:f>
        <x:v>-19.806979653868183</x:v>
      </x:c>
      <x:c r="K22" s="128" t="n">
        <x:f>IF(G22=0,0,J22/G22)</x:f>
        <x:v>-0.10370146415637792</x:v>
      </x:c>
      <x:c r="L22" s="135" t="n">
        <x:f>(LN(G22)-Regression!$B$16-Regression!$B$17*E22)/Regression!$B$18</x:f>
        <x:v>5.820509356878611</x:v>
      </x:c>
      <x:c r="M22" s="135" t="n">
        <x:f>L22-F22</x:f>
        <x:v>0.3205093568786106</x:v>
      </x:c>
      <x:c r="N22" s="136" t="n">
        <x:f>H22-G22</x:f>
        <x:v>-24</x:v>
      </x:c>
      <x:c r="O22" s="126" t="str">
        <x:f>IF(ABS(N22)/G22&lt;=0.1,"Congruent",IF(N22&gt;0,"Market Above Model","Market Below Model"))</x:f>
        <x:v>Market Below Model</x:v>
      </x:c>
      <x:c r="P22" s="109"/>
      <x:c r="Q22" s="109"/>
    </x:row>
    <x:row r="23">
      <x:c r="A23" s="111" t="str">
        <x:v>Phantasmal Flames</x:v>
      </x:c>
      <x:c r="B23" s="111" t="str">
        <x:v>Mega Charizard X ex #125</x:v>
      </x:c>
      <x:c r="C23" s="133" t="n">
        <x:v>3736</x:v>
      </x:c>
      <x:c r="D23" s="134" t="n">
        <x:v>2</x:v>
      </x:c>
      <x:c r="E23" s="135" t="n">
        <x:f>C23/MAX($C$5:$C$26)*10</x:f>
        <x:v>2.0253713542231377</x:v>
      </x:c>
      <x:c r="F23" s="134" t="n">
        <x:v>10</x:v>
      </x:c>
      <x:c r="G23" s="133" t="n">
        <x:v>478</x:v>
      </x:c>
      <x:c r="H23" s="133" t="n">
        <x:v>802</x:v>
      </x:c>
      <x:c r="I23" s="136" t="n">
        <x:f>EXP(Regression!$B$16+Regression!$B$17*E23+Regression!$B$18*F23)</x:f>
        <x:v>489.8123286217862</x:v>
      </x:c>
      <x:c r="J23" s="136" t="n">
        <x:f>I23-G23</x:f>
        <x:v>11.812328621786207</x:v>
      </x:c>
      <x:c r="K23" s="128" t="n">
        <x:f>IF(G23=0,0,J23/G23)</x:f>
        <x:v>0.024711984564406292</x:v>
      </x:c>
      <x:c r="L23" s="135" t="n">
        <x:f>(LN(G23)-Regression!$B$16-Regression!$B$17*E23)/Regression!$B$18</x:f>
        <x:v>9.928534740101727</x:v>
      </x:c>
      <x:c r="M23" s="135" t="n">
        <x:f>L23-F23</x:f>
        <x:v>-0.07146525989827346</x:v>
      </x:c>
      <x:c r="N23" s="136" t="n">
        <x:f>H23-G23</x:f>
        <x:v>324</x:v>
      </x:c>
      <x:c r="O23" s="126" t="str">
        <x:f>IF(ABS(N23)/G23&lt;=0.1,"Congruent",IF(N23&gt;0,"Market Above Model","Market Below Model"))</x:f>
        <x:v>Market Above Model</x:v>
      </x:c>
      <x:c r="P23" s="109"/>
      <x:c r="Q23" s="109"/>
    </x:row>
    <x:row r="24">
      <x:c r="A24" s="111" t="str">
        <x:v>Ascended Heroes</x:v>
      </x:c>
      <x:c r="B24" s="111" t="str">
        <x:v>Mega Gengar ex #284</x:v>
      </x:c>
      <x:c r="C24" s="133" t="n">
        <x:v>18341</x:v>
      </x:c>
      <x:c r="D24" s="134" t="n">
        <x:v>9.9</x:v>
      </x:c>
      <x:c r="E24" s="135" t="n">
        <x:f>C24/MAX($C$5:$C$26)*10</x:f>
        <x:v>9.943077089883985</x:v>
      </x:c>
      <x:c r="F24" s="134" t="n">
        <x:v>8.1</x:v>
      </x:c>
      <x:c r="G24" s="133" t="n">
        <x:v>1008</x:v>
      </x:c>
      <x:c r="H24" s="133" t="n">
        <x:v>1064</x:v>
      </x:c>
      <x:c r="I24" s="136" t="n">
        <x:f>EXP(Regression!$B$16+Regression!$B$17*E24+Regression!$B$18*F24)</x:f>
        <x:v>1043.1687479055038</x:v>
      </x:c>
      <x:c r="J24" s="136" t="n">
        <x:f>I24-G24</x:f>
        <x:v>35.16874790550378</x:v>
      </x:c>
      <x:c r="K24" s="128" t="n">
        <x:f>IF(G24=0,0,J24/G24)</x:f>
        <x:v>0.0348896308586347</x:v>
      </x:c>
      <x:c r="L24" s="135" t="n">
        <x:f>(LN(G24)-Regression!$B$16-Regression!$B$17*E24)/Regression!$B$18</x:f>
        <x:v>7.999601524360109</x:v>
      </x:c>
      <x:c r="M24" s="135" t="n">
        <x:f>L24-F24</x:f>
        <x:v>-0.10039847563989035</x:v>
      </x:c>
      <x:c r="N24" s="136" t="n">
        <x:f>H24-G24</x:f>
        <x:v>56</x:v>
      </x:c>
      <x:c r="O24" s="126" t="str">
        <x:f>IF(ABS(N24)/G24&lt;=0.1,"Congruent",IF(N24&gt;0,"Market Above Model","Market Below Model"))</x:f>
        <x:v>Congruent</x:v>
      </x:c>
      <x:c r="P24" s="109"/>
      <x:c r="Q24" s="109"/>
    </x:row>
    <x:row r="25">
      <x:c r="A25" s="111" t="str">
        <x:v>Ascended Heroes</x:v>
      </x:c>
      <x:c r="B25" s="111" t="str">
        <x:v>Mega Dragonite ex #290</x:v>
      </x:c>
      <x:c r="C25" s="133" t="n">
        <x:v>18341</x:v>
      </x:c>
      <x:c r="D25" s="134" t="n">
        <x:v>9.9</x:v>
      </x:c>
      <x:c r="E25" s="135" t="n">
        <x:f>C25/MAX($C$5:$C$26)*10</x:f>
        <x:v>9.943077089883985</x:v>
      </x:c>
      <x:c r="F25" s="134" t="n">
        <x:v>7.4</x:v>
      </x:c>
      <x:c r="G25" s="133" t="n">
        <x:v>794</x:v>
      </x:c>
      <x:c r="H25" s="133" t="n">
        <x:v>642</x:v>
      </x:c>
      <x:c r="I25" s="136" t="n">
        <x:f>EXP(Regression!$B$16+Regression!$B$17*E25+Regression!$B$18*F25)</x:f>
        <x:v>821.3156793126855</x:v>
      </x:c>
      <x:c r="J25" s="136" t="n">
        <x:f>I25-G25</x:f>
        <x:v>27.31567931268546</x:v>
      </x:c>
      <x:c r="K25" s="128" t="n">
        <x:f>IF(G25=0,0,J25/G25)</x:f>
        <x:v>0.03440261878171973</x:v>
      </x:c>
      <x:c r="L25" s="135" t="n">
        <x:f>(LN(G25)-Regression!$B$16-Regression!$B$17*E25)/Regression!$B$18</x:f>
        <x:v>7.300979517159785</x:v>
      </x:c>
      <x:c r="M25" s="135" t="n">
        <x:f>L25-F25</x:f>
        <x:v>-0.09902048284021525</x:v>
      </x:c>
      <x:c r="N25" s="136" t="n">
        <x:f>H25-G25</x:f>
        <x:v>-152</x:v>
      </x:c>
      <x:c r="O25" s="126" t="str">
        <x:f>IF(ABS(N25)/G25&lt;=0.1,"Congruent",IF(N25&gt;0,"Market Above Model","Market Below Model"))</x:f>
        <x:v>Market Below Model</x:v>
      </x:c>
      <x:c r="P25" s="109"/>
      <x:c r="Q25" s="109"/>
    </x:row>
    <x:row r="26">
      <x:c r="A26" s="111" t="str">
        <x:v>Ascended Heroes</x:v>
      </x:c>
      <x:c r="B26" s="111" t="str">
        <x:v>Pikachu ex #276</x:v>
      </x:c>
      <x:c r="C26" s="133" t="n">
        <x:v>18341</x:v>
      </x:c>
      <x:c r="D26" s="134" t="n">
        <x:v>9.9</x:v>
      </x:c>
      <x:c r="E26" s="135" t="n">
        <x:f>C26/MAX($C$5:$C$26)*10</x:f>
        <x:v>9.943077089883985</x:v>
      </x:c>
      <x:c r="F26" s="134" t="n">
        <x:v>7.9</x:v>
      </x:c>
      <x:c r="G26" s="133" t="n">
        <x:v>932</x:v>
      </x:c>
      <x:c r="H26" s="133" t="n">
        <x:v>667</x:v>
      </x:c>
      <x:c r="I26" s="136" t="n">
        <x:f>EXP(Regression!$B$16+Regression!$B$17*E26+Regression!$B$18*F26)</x:f>
        <x:v>974.2821003050262</x:v>
      </x:c>
      <x:c r="J26" s="136" t="n">
        <x:f>I26-G26</x:f>
        <x:v>42.28210030502623</x:v>
      </x:c>
      <x:c r="K26" s="128" t="n">
        <x:f>IF(G26=0,0,J26/G26)</x:f>
        <x:v>0.045367060413118276</x:v>
      </x:c>
      <x:c r="L26" s="135" t="n">
        <x:f>(LN(G26)-Regression!$B$16-Regression!$B$17*E26)/Regression!$B$18</x:f>
        <x:v>7.77011181212382</x:v>
      </x:c>
      <x:c r="M26" s="135" t="n">
        <x:f>L26-F26</x:f>
        <x:v>-0.12988818787618062</x:v>
      </x:c>
      <x:c r="N26" s="136" t="n">
        <x:f>H26-G26</x:f>
        <x:v>-265</x:v>
      </x:c>
      <x:c r="O26" s="126" t="str">
        <x:f>IF(ABS(N26)/G26&lt;=0.1,"Congruent",IF(N26&gt;0,"Market Above Model","Market Below Model"))</x:f>
        <x:v>Market Below Model</x:v>
      </x:c>
      <x:c r="P26" s="109"/>
      <x:c r="Q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</x:row>
  </x:sheetData>
  <x:mergeCells>
    <x:mergeCell ref="A1:O2"/>
  </x:mergeCells>
  <x:conditionalFormatting sqref="K5:K2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N5:N26">
    <x:cfRule type="cellIs" dxfId="2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e8216293a34d8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2" hidden="0" customWidth="1"/>
    <x:col min="11" max="11" width="52" hidden="0" customWidth="1"/>
  </x:cols>
  <x:sheetData>
    <x:row r="1">
      <x:c r="A1" s="5" t="str">
        <x:v>Set Pull-Cost Reconstruction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109"/>
      <x:c r="M1" s="109"/>
      <x:c r="N1" s="109"/>
      <x:c r="O1" s="109"/>
      <x:c r="P1" s="109"/>
      <x:c r="Q1" s="109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109"/>
      <x:c r="M2" s="109"/>
      <x:c r="N2" s="109"/>
      <x:c r="O2" s="109"/>
      <x:c r="P2" s="109"/>
      <x:c r="Q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</x:row>
    <x:row r="4">
      <x:c r="A4" s="22" t="str">
        <x:v>Set</x:v>
      </x:c>
      <x:c r="B4" s="22" t="str">
        <x:v>Any SIR Odds (1 in X)</x:v>
      </x:c>
      <x:c r="C4" s="22" t="str">
        <x:v>Eligible Cards</x:v>
      </x:c>
      <x:c r="D4" s="22" t="str">
        <x:v>Expected Packs</x:v>
      </x:c>
      <x:c r="E4" s="22" t="str">
        <x:v>Video Pull Cost ($)</x:v>
      </x:c>
      <x:c r="F4" s="22" t="str">
        <x:v>Implied Pack Price ($)</x:v>
      </x:c>
      <x:c r="G4" s="22" t="str">
        <x:v>Exact Pull Score</x:v>
      </x:c>
      <x:c r="H4" s="22" t="str">
        <x:v>Displayed Pull Score</x:v>
      </x:c>
      <x:c r="I4" s="22" t="str">
        <x:v>Rounded Match</x:v>
      </x:c>
      <x:c r="J4" s="22" t="str">
        <x:v>Provenance Note</x:v>
      </x:c>
      <x:c r="K4" s="22" t="str">
        <x:v>Source URL</x:v>
      </x:c>
      <x:c r="L4" s="109"/>
      <x:c r="M4" s="109"/>
      <x:c r="N4" s="109"/>
      <x:c r="O4" s="109"/>
      <x:c r="P4" s="109"/>
      <x:c r="Q4" s="109"/>
    </x:row>
    <x:row r="5">
      <x:c r="A5" s="111" t="str">
        <x:v>Scarlet &amp; Violet</x:v>
      </x:c>
      <x:c r="B5" s="111" t="n">
        <x:v>32</x:v>
      </x:c>
      <x:c r="C5" s="111" t="n">
        <x:v>10</x:v>
      </x:c>
      <x:c r="D5" s="126" t="n">
        <x:f>B5*C5</x:f>
        <x:v>320</x:v>
      </x:c>
      <x:c r="E5" s="136" t="n">
        <x:v>2522</x:v>
      </x:c>
      <x:c r="F5" s="141" t="n">
        <x:f>E5/D5</x:f>
        <x:v>7.88125</x:v>
      </x:c>
      <x:c r="G5" s="135" t="n">
        <x:f>E5/MAX($E$5:$E$23)*10</x:f>
        <x:v>1.367234088691315</x:v>
      </x:c>
      <x:c r="H5" s="142" t="n">
        <x:v>1.4</x:v>
      </x:c>
      <x:c r="I5" s="126" t="b">
        <x:f>ABS(ROUND(G5,1)-H5)&lt;0.001</x:f>
        <x:v>1</x:v>
      </x:c>
      <x:c r="J5" s="143" t="str">
        <x:v>Published pull-rate experiment; count in video differs from some current checklists.</x:v>
      </x:c>
      <x:c r="K5" s="143" t="str">
        <x:v>https://www.tcgplayer.com/content/article/robot/a7702fce-dd64-4a58-beb1-0f871c853215/</x:v>
      </x:c>
      <x:c r="L5" s="109"/>
      <x:c r="M5" s="109"/>
      <x:c r="N5" s="109"/>
      <x:c r="O5" s="109"/>
      <x:c r="P5" s="109"/>
      <x:c r="Q5" s="109"/>
    </x:row>
    <x:row r="6">
      <x:c r="A6" s="111" t="str">
        <x:v>Paldea Evolved</x:v>
      </x:c>
      <x:c r="B6" s="111" t="n">
        <x:v>32</x:v>
      </x:c>
      <x:c r="C6" s="111" t="n">
        <x:v>15</x:v>
      </x:c>
      <x:c r="D6" s="126" t="n">
        <x:f>B6*C6</x:f>
        <x:v>480</x:v>
      </x:c>
      <x:c r="E6" s="136" t="n">
        <x:v>5966</x:v>
      </x:c>
      <x:c r="F6" s="141" t="n">
        <x:f>E6/D6</x:f>
        <x:v>12.429166666666667</x:v>
      </x:c>
      <x:c r="G6" s="135" t="n">
        <x:f>E6/MAX($E$5:$E$23)*10</x:f>
        <x:v>3.234305540496585</x:v>
      </x:c>
      <x:c r="H6" s="142" t="n">
        <x:v>3.2</x:v>
      </x:c>
      <x:c r="I6" s="126" t="b">
        <x:f>ABS(ROUND(G6,1)-H6)&lt;0.001</x:f>
        <x:v>1</x:v>
      </x:c>
      <x:c r="J6" s="143" t="str">
        <x:v>Video inputs align with published SIR odds/count.</x:v>
      </x:c>
      <x:c r="K6" s="143" t="str">
        <x:v>https://www.tcgplayer.com/content/article/Pok%C3%A9mon-TCG-Paldea-Evolved-Pull-Rates/1b7d3e70-9542-4a50-8692-1661e2316521/</x:v>
      </x:c>
      <x:c r="L6" s="109"/>
      <x:c r="M6" s="109"/>
      <x:c r="N6" s="109"/>
      <x:c r="O6" s="109"/>
      <x:c r="P6" s="109"/>
      <x:c r="Q6" s="109"/>
    </x:row>
    <x:row r="7">
      <x:c r="A7" s="111" t="str">
        <x:v>Obsidian Flames</x:v>
      </x:c>
      <x:c r="B7" s="111" t="n">
        <x:v>32</x:v>
      </x:c>
      <x:c r="C7" s="111" t="n">
        <x:v>6</x:v>
      </x:c>
      <x:c r="D7" s="126" t="n">
        <x:f>B7*C7</x:f>
        <x:v>192</x:v>
      </x:c>
      <x:c r="E7" s="136" t="n">
        <x:v>2196</x:v>
      </x:c>
      <x:c r="F7" s="141" t="n">
        <x:f>E7/D7</x:f>
        <x:v>11.4375</x:v>
      </x:c>
      <x:c r="G7" s="135" t="n">
        <x:f>E7/MAX($E$5:$E$23)*10</x:f>
        <x:v>1.1905020058549278</x:v>
      </x:c>
      <x:c r="H7" s="142" t="n">
        <x:v>1.2</x:v>
      </x:c>
      <x:c r="I7" s="126" t="b">
        <x:f>ABS(ROUND(G7,1)-H7)&lt;0.001</x:f>
        <x:v>1</x:v>
      </x:c>
      <x:c r="J7" s="143" t="str">
        <x:v>Video inputs align with published SIR odds/count.</x:v>
      </x:c>
      <x:c r="K7" s="143" t="str">
        <x:v>https://www.tcgplayer.com/content/article/Pok%C3%A9mon-TCG-Obsidian-Flames-Pull-Rates/e2a66999-a7b5-4621-9765-c9a132e04bd2</x:v>
      </x:c>
      <x:c r="L7" s="109"/>
      <x:c r="M7" s="109"/>
      <x:c r="N7" s="109"/>
      <x:c r="O7" s="109"/>
      <x:c r="P7" s="109"/>
      <x:c r="Q7" s="109"/>
    </x:row>
    <x:row r="8">
      <x:c r="A8" s="111" t="str">
        <x:v>Scarlet &amp; Violet 151</x:v>
      </x:c>
      <x:c r="B8" s="111" t="n">
        <x:v>32</x:v>
      </x:c>
      <x:c r="C8" s="111" t="n">
        <x:v>7</x:v>
      </x:c>
      <x:c r="D8" s="126" t="n">
        <x:f>B8*C8</x:f>
        <x:v>224</x:v>
      </x:c>
      <x:c r="E8" s="136" t="n">
        <x:v>6671</x:v>
      </x:c>
      <x:c r="F8" s="141" t="n">
        <x:f>E8/D8</x:f>
        <x:v>29.78125</x:v>
      </x:c>
      <x:c r="G8" s="135" t="n">
        <x:f>E8/MAX($E$5:$E$23)*10</x:f>
        <x:v>3.6165022227041095</x:v>
      </x:c>
      <x:c r="H8" s="142" t="n">
        <x:v>3.6</x:v>
      </x:c>
      <x:c r="I8" s="126" t="b">
        <x:f>ABS(ROUND(G8,1)-H8)&lt;0.001</x:f>
        <x:v>1</x:v>
      </x:c>
      <x:c r="J8" s="143" t="str">
        <x:v>Video inputs align with published SIR odds/count.</x:v>
      </x:c>
      <x:c r="K8" s="143" t="str">
        <x:v>https://www.tcgplayer.com/content/article/Pok%C3%A9mon-TCG-Scarlet-Violet%E2%80%94151-Pull-Rates/b237df74-fbb0-40d0-9e13-d69ee6e804d9/</x:v>
      </x:c>
      <x:c r="L8" s="109"/>
      <x:c r="M8" s="109"/>
      <x:c r="N8" s="109"/>
      <x:c r="O8" s="109"/>
      <x:c r="P8" s="109"/>
      <x:c r="Q8" s="109"/>
    </x:row>
    <x:row r="9">
      <x:c r="A9" s="111" t="str">
        <x:v>Paradox Rift</x:v>
      </x:c>
      <x:c r="B9" s="111" t="n">
        <x:v>47</x:v>
      </x:c>
      <x:c r="C9" s="111" t="n">
        <x:v>15</x:v>
      </x:c>
      <x:c r="D9" s="126" t="n">
        <x:f>B9*C9</x:f>
        <x:v>705</x:v>
      </x:c>
      <x:c r="E9" s="136" t="n">
        <x:v>4935</x:v>
      </x:c>
      <x:c r="F9" s="141" t="n">
        <x:f>E9/D9</x:f>
        <x:v>7</x:v>
      </x:c>
      <x:c r="G9" s="135" t="n">
        <x:f>E9/MAX($E$5:$E$23)*10</x:f>
        <x:v>2.6753767754526727</x:v>
      </x:c>
      <x:c r="H9" s="142" t="n">
        <x:v>2.7</x:v>
      </x:c>
      <x:c r="I9" s="126" t="b">
        <x:f>ABS(ROUND(G9,1)-H9)&lt;0.001</x:f>
        <x:v>1</x:v>
      </x:c>
      <x:c r="J9" s="143" t="str">
        <x:v>Video inputs align with published SIR odds/count.</x:v>
      </x:c>
      <x:c r="K9" s="143" t="str">
        <x:v>https://www.tcgplayer.com/content/article/Pok%C3%A9mon-TCG-Paradox-Rift-Pull-Rates/0b5fb648-38fc-4f61-a6af-57c2737b4a48/</x:v>
      </x:c>
      <x:c r="L9" s="109"/>
      <x:c r="M9" s="109"/>
      <x:c r="N9" s="109"/>
      <x:c r="O9" s="109"/>
      <x:c r="P9" s="109"/>
      <x:c r="Q9" s="109"/>
    </x:row>
    <x:row r="10">
      <x:c r="A10" s="111" t="str">
        <x:v>Paldean Fates</x:v>
      </x:c>
      <x:c r="B10" s="111" t="n">
        <x:v>58</x:v>
      </x:c>
      <x:c r="C10" s="111" t="n">
        <x:v>8</x:v>
      </x:c>
      <x:c r="D10" s="126" t="n">
        <x:f>B10*C10</x:f>
        <x:v>464</x:v>
      </x:c>
      <x:c r="E10" s="136" t="n">
        <x:v>9067</x:v>
      </x:c>
      <x:c r="F10" s="141" t="n">
        <x:f>E10/D10</x:f>
        <x:v>19.540948275862068</x:v>
      </x:c>
      <x:c r="G10" s="135" t="n">
        <x:f>E10/MAX($E$5:$E$23)*10</x:f>
        <x:v>4.915428819256207</x:v>
      </x:c>
      <x:c r="H10" s="142" t="n">
        <x:v>4.9</x:v>
      </x:c>
      <x:c r="I10" s="126" t="b">
        <x:f>ABS(ROUND(G10,1)-H10)&lt;0.001</x:f>
        <x:v>1</x:v>
      </x:c>
      <x:c r="J10" s="143" t="str">
        <x:v>Video inputs align with published SIR odds/count.</x:v>
      </x:c>
      <x:c r="K10" s="143" t="str">
        <x:v>https://www.tcgplayer.com/content/article/Pok%C3%A9mon-TCG-Paldean-Fates-Pull-Rates/23de3e93-0d0f-4ae0-abc4-13664f3001a3/</x:v>
      </x:c>
      <x:c r="L10" s="109"/>
      <x:c r="M10" s="109"/>
      <x:c r="N10" s="109"/>
      <x:c r="O10" s="109"/>
      <x:c r="P10" s="109"/>
      <x:c r="Q10" s="109"/>
    </x:row>
    <x:row r="11">
      <x:c r="A11" s="111" t="str">
        <x:v>Temporal Forces</x:v>
      </x:c>
      <x:c r="B11" s="111" t="n">
        <x:v>86</x:v>
      </x:c>
      <x:c r="C11" s="111" t="n">
        <x:v>10</x:v>
      </x:c>
      <x:c r="D11" s="126" t="n">
        <x:f>B11*C11</x:f>
        <x:v>860</x:v>
      </x:c>
      <x:c r="E11" s="136" t="n">
        <x:v>8024</x:v>
      </x:c>
      <x:c r="F11" s="141" t="n">
        <x:f>E11/D11</x:f>
        <x:v>9.330232558139535</x:v>
      </x:c>
      <x:c r="G11" s="135" t="n">
        <x:f>E11/MAX($E$5:$E$23)*10</x:f>
        <x:v>4.349994578770465</x:v>
      </x:c>
      <x:c r="H11" s="142" t="n">
        <x:v>4.3</x:v>
      </x:c>
      <x:c r="I11" s="126" t="b">
        <x:f>ABS(ROUND(G11,1)-H11)&lt;0.001</x:f>
        <x:v>1</x:v>
      </x:c>
      <x:c r="J11" s="143" t="str">
        <x:v>Video inputs align with published SIR odds/count.</x:v>
      </x:c>
      <x:c r="K11" s="143" t="str">
        <x:v>https://www.tcgplayer.com/content/article/Pok%C3%A9mon-TCG-Temporal-Forces-Pull-Rates/28c0ad22-00a4-428f-b22d-e7fee9ec50bc/</x:v>
      </x:c>
      <x:c r="L11" s="109"/>
      <x:c r="M11" s="109"/>
      <x:c r="N11" s="109"/>
      <x:c r="O11" s="109"/>
      <x:c r="P11" s="109"/>
      <x:c r="Q11" s="109"/>
    </x:row>
    <x:row r="12">
      <x:c r="A12" s="111" t="str">
        <x:v>Twilight Masquerade</x:v>
      </x:c>
      <x:c r="B12" s="111" t="n">
        <x:v>86</x:v>
      </x:c>
      <x:c r="C12" s="111" t="n">
        <x:v>11</x:v>
      </x:c>
      <x:c r="D12" s="126" t="n">
        <x:f>B12*C12</x:f>
        <x:v>946</x:v>
      </x:c>
      <x:c r="E12" s="136" t="n">
        <x:v>8353</x:v>
      </x:c>
      <x:c r="F12" s="141" t="n">
        <x:f>E12/D12</x:f>
        <x:v>8.829809725158562</x:v>
      </x:c>
      <x:c r="G12" s="135" t="n">
        <x:f>E12/MAX($E$5:$E$23)*10</x:f>
        <x:v>4.52835303046731</x:v>
      </x:c>
      <x:c r="H12" s="142" t="n">
        <x:v>4.5</x:v>
      </x:c>
      <x:c r="I12" s="126" t="b">
        <x:f>ABS(ROUND(G12,1)-H12)&lt;0.001</x:f>
        <x:v>1</x:v>
      </x:c>
      <x:c r="J12" s="143" t="str">
        <x:v>Video inputs align with published SIR odds/count.</x:v>
      </x:c>
      <x:c r="K12" s="143" t="str">
        <x:v>https://www.tcgplayer.com/content/article/Pok%C3%A9mon-TCG-Twilight-Masquerade-Pull-Rates/f3eea967-e5fb-4108-8655-bb1c89587628/</x:v>
      </x:c>
      <x:c r="L12" s="109"/>
      <x:c r="M12" s="109"/>
      <x:c r="N12" s="109"/>
      <x:c r="O12" s="109"/>
      <x:c r="P12" s="109"/>
      <x:c r="Q12" s="109"/>
    </x:row>
    <x:row r="13">
      <x:c r="A13" s="111" t="str">
        <x:v>Shrouded Fable</x:v>
      </x:c>
      <x:c r="B13" s="111" t="n">
        <x:v>67</x:v>
      </x:c>
      <x:c r="C13" s="111" t="n">
        <x:v>5</x:v>
      </x:c>
      <x:c r="D13" s="126" t="n">
        <x:f>B13*C13</x:f>
        <x:v>335</x:v>
      </x:c>
      <x:c r="E13" s="136" t="n">
        <x:v>2673</x:v>
      </x:c>
      <x:c r="F13" s="141" t="n">
        <x:f>E13/D13</x:f>
        <x:v>7.979104477611941</x:v>
      </x:c>
      <x:c r="G13" s="135" t="n">
        <x:f>E13/MAX($E$5:$E$23)*10</x:f>
        <x:v>1.4490946546676786</x:v>
      </x:c>
      <x:c r="H13" s="142" t="n">
        <x:v>1.4</x:v>
      </x:c>
      <x:c r="I13" s="126" t="b">
        <x:f>ABS(ROUND(G13,1)-H13)&lt;0.001</x:f>
        <x:v>1</x:v>
      </x:c>
      <x:c r="J13" s="143" t="str">
        <x:v>The video's 1-in-67 source remains provisional; public estimates conflict.</x:v>
      </x:c>
      <x:c r="K13" s="143" t="str">
        <x:v>https://pokecompare.com/pull-rates/shrouded-fable</x:v>
      </x:c>
      <x:c r="L13" s="109"/>
      <x:c r="M13" s="109"/>
      <x:c r="N13" s="109"/>
      <x:c r="O13" s="109"/>
      <x:c r="P13" s="109"/>
      <x:c r="Q13" s="109"/>
    </x:row>
    <x:row r="14">
      <x:c r="A14" s="111" t="str">
        <x:v>Stellar Crown</x:v>
      </x:c>
      <x:c r="B14" s="111" t="n">
        <x:v>90</x:v>
      </x:c>
      <x:c r="C14" s="111" t="n">
        <x:v>6</x:v>
      </x:c>
      <x:c r="D14" s="126" t="n">
        <x:f>B14*C14</x:f>
        <x:v>540</x:v>
      </x:c>
      <x:c r="E14" s="136" t="n">
        <x:v>4892</x:v>
      </x:c>
      <x:c r="F14" s="141" t="n">
        <x:f>E14/D14</x:f>
        <x:v>9.059259259259258</x:v>
      </x:c>
      <x:c r="G14" s="135" t="n">
        <x:f>E14/MAX($E$5:$E$23)*10</x:f>
        <x:v>2.6520654884527812</x:v>
      </x:c>
      <x:c r="H14" s="142" t="n">
        <x:v>2.7</x:v>
      </x:c>
      <x:c r="I14" s="126" t="b">
        <x:f>ABS(ROUND(G14,1)-H14)&lt;0.001</x:f>
        <x:v>1</x:v>
      </x:c>
      <x:c r="J14" s="143" t="str">
        <x:v>Video inputs align with published SIR odds/count.</x:v>
      </x:c>
      <x:c r="K14" s="143" t="str">
        <x:v>https://www.tcgplayer.com/content/article/Pok%C3%A9mon-TCG-Stellar-Crown-Pull-Rates/2c0743dd-dbd0-4504-9ff8-be5a72dd04d1/</x:v>
      </x:c>
      <x:c r="L14" s="109"/>
      <x:c r="M14" s="109"/>
      <x:c r="N14" s="109"/>
      <x:c r="O14" s="109"/>
      <x:c r="P14" s="109"/>
      <x:c r="Q14" s="109"/>
    </x:row>
    <x:row r="15">
      <x:c r="A15" s="111" t="str">
        <x:v>Surging Sparks</x:v>
      </x:c>
      <x:c r="B15" s="111" t="n">
        <x:v>87</x:v>
      </x:c>
      <x:c r="C15" s="111" t="n">
        <x:v>11</x:v>
      </x:c>
      <x:c r="D15" s="126" t="n">
        <x:f>B15*C15</x:f>
        <x:v>957</x:v>
      </x:c>
      <x:c r="E15" s="136" t="n">
        <x:v>7627</x:v>
      </x:c>
      <x:c r="F15" s="141" t="n">
        <x:f>E15/D15</x:f>
        <x:v>7.96969696969697</x:v>
      </x:c>
      <x:c r="G15" s="135" t="n">
        <x:f>E15/MAX($E$5:$E$23)*10</x:f>
        <x:v>4.134771766236582</x:v>
      </x:c>
      <x:c r="H15" s="142" t="n">
        <x:v>4.1</x:v>
      </x:c>
      <x:c r="I15" s="126" t="b">
        <x:f>ABS(ROUND(G15,1)-H15)&lt;0.001</x:f>
        <x:v>1</x:v>
      </x:c>
      <x:c r="J15" s="143" t="str">
        <x:v>Video inputs align with published SIR odds/count.</x:v>
      </x:c>
      <x:c r="K15" s="143" t="str">
        <x:v>https://www.tcgplayer.com/content/article/Pok%EF%BF%BDmon-TCG-Surging-Sparks-Pull-Rates/6ccfb6ab-f26a-4ce8-bab5-5f91c85ec70e</x:v>
      </x:c>
      <x:c r="L15" s="109"/>
      <x:c r="M15" s="109"/>
      <x:c r="N15" s="109"/>
      <x:c r="O15" s="109"/>
      <x:c r="P15" s="109"/>
      <x:c r="Q15" s="109"/>
    </x:row>
    <x:row r="16">
      <x:c r="A16" s="111" t="str">
        <x:v>Prismatic Evolutions</x:v>
      </x:c>
      <x:c r="B16" s="111" t="n">
        <x:v>45</x:v>
      </x:c>
      <x:c r="C16" s="111" t="n">
        <x:v>32</x:v>
      </x:c>
      <x:c r="D16" s="126" t="n">
        <x:f>B16*C16</x:f>
        <x:v>1440</x:v>
      </x:c>
      <x:c r="E16" s="136" t="n">
        <x:v>18446</x:v>
      </x:c>
      <x:c r="F16" s="141" t="n">
        <x:f>E16/D16</x:f>
        <x:v>12.809722222222222</x:v>
      </x:c>
      <x:c r="G16" s="135" t="n">
        <x:f>E16/MAX($E$5:$E$23)*10</x:f>
        <x:v>10</x:v>
      </x:c>
      <x:c r="H16" s="142" t="n">
        <x:v>10</x:v>
      </x:c>
      <x:c r="I16" s="126" t="b">
        <x:f>ABS(ROUND(G16,1)-H16)&lt;0.001</x:f>
        <x:v>1</x:v>
      </x:c>
      <x:c r="J16" s="143" t="str">
        <x:v>Video inputs align with published specific-card estimate near 1 in 1,440.</x:v>
      </x:c>
      <x:c r="K16" s="143" t="str">
        <x:v>https://www.tcgplayer.com/content/article/Pok%C3%A9mon-TCG-Prismatic-Evolutions-Pull-Rates/d94889ea-f76a-4a13-b74d-5b0b071220a7/</x:v>
      </x:c>
      <x:c r="L16" s="109"/>
      <x:c r="M16" s="109"/>
      <x:c r="N16" s="109"/>
      <x:c r="O16" s="109"/>
      <x:c r="P16" s="109"/>
      <x:c r="Q16" s="109"/>
    </x:row>
    <x:row r="17">
      <x:c r="A17" s="111" t="str">
        <x:v>Journey Together</x:v>
      </x:c>
      <x:c r="B17" s="111" t="n">
        <x:v>86</x:v>
      </x:c>
      <x:c r="C17" s="111" t="n">
        <x:v>6</x:v>
      </x:c>
      <x:c r="D17" s="126" t="n">
        <x:f>B17*C17</x:f>
        <x:v>516</x:v>
      </x:c>
      <x:c r="E17" s="136" t="n">
        <x:v>3839</x:v>
      </x:c>
      <x:c r="F17" s="141" t="n">
        <x:f>E17/D17</x:f>
        <x:v>7.439922480620155</x:v>
      </x:c>
      <x:c r="G17" s="135" t="n">
        <x:f>E17/MAX($E$5:$E$23)*10</x:f>
        <x:v>2.0812100184321807</x:v>
      </x:c>
      <x:c r="H17" s="142" t="n">
        <x:v>2.1</x:v>
      </x:c>
      <x:c r="I17" s="126" t="b">
        <x:f>ABS(ROUND(G17,1)-H17)&lt;0.001</x:f>
        <x:v>1</x:v>
      </x:c>
      <x:c r="J17" s="143" t="str">
        <x:v>Video inputs align with published SIR odds/count.</x:v>
      </x:c>
      <x:c r="K17" s="143" t="str">
        <x:v>https://www.tcgplayer.com/content/article/Pok%C3%A9mon-TCG-Journey-Together-Pull-Rates/1b9f379f-97cb-45cc-b6f6-a1a070a422cd/</x:v>
      </x:c>
      <x:c r="L17" s="109"/>
      <x:c r="M17" s="109"/>
      <x:c r="N17" s="109"/>
      <x:c r="O17" s="109"/>
      <x:c r="P17" s="109"/>
      <x:c r="Q17" s="109"/>
    </x:row>
    <x:row r="18">
      <x:c r="A18" s="111" t="str">
        <x:v>Destined Rivals</x:v>
      </x:c>
      <x:c r="B18" s="111" t="n">
        <x:v>94</x:v>
      </x:c>
      <x:c r="C18" s="111" t="n">
        <x:v>11</x:v>
      </x:c>
      <x:c r="D18" s="126" t="n">
        <x:f>B18*C18</x:f>
        <x:v>1034</x:v>
      </x:c>
      <x:c r="E18" s="136" t="n">
        <x:v>9471</x:v>
      </x:c>
      <x:c r="F18" s="141" t="n">
        <x:f>E18/D18</x:f>
        <x:v>9.159574468085106</x:v>
      </x:c>
      <x:c r="G18" s="135" t="n">
        <x:f>E18/MAX($E$5:$E$23)*10</x:f>
        <x:v>5.134446492464491</x:v>
      </x:c>
      <x:c r="H18" s="142" t="n">
        <x:v>5.1</x:v>
      </x:c>
      <x:c r="I18" s="126" t="b">
        <x:f>ABS(ROUND(G18,1)-H18)&lt;0.001</x:f>
        <x:v>1</x:v>
      </x:c>
      <x:c r="J18" s="143" t="str">
        <x:v>Video inputs align with published SIR odds/count.</x:v>
      </x:c>
      <x:c r="K18" s="143" t="str">
        <x:v>https://www.tcgplayer.com/content/article/Pok%C3%A9mon-TCG-Destined-Rivals-Pull-Rates/43ba832e-44c9-45a4-ae2e-594df2defdda/</x:v>
      </x:c>
      <x:c r="L18" s="109"/>
      <x:c r="M18" s="109"/>
      <x:c r="N18" s="109"/>
      <x:c r="O18" s="109"/>
      <x:c r="P18" s="109"/>
      <x:c r="Q18" s="109"/>
    </x:row>
    <x:row r="19">
      <x:c r="A19" s="111" t="str">
        <x:v>White Flare</x:v>
      </x:c>
      <x:c r="B19" s="111" t="n">
        <x:v>80</x:v>
      </x:c>
      <x:c r="C19" s="111" t="n">
        <x:v>7</x:v>
      </x:c>
      <x:c r="D19" s="126" t="n">
        <x:f>B19*C19</x:f>
        <x:v>560</x:v>
      </x:c>
      <x:c r="E19" s="136" t="n">
        <x:v>4995</x:v>
      </x:c>
      <x:c r="F19" s="141" t="n">
        <x:f>E19/D19</x:f>
        <x:v>8.919642857142858</x:v>
      </x:c>
      <x:c r="G19" s="135" t="n">
        <x:f>E19/MAX($E$5:$E$23)*10</x:f>
        <x:v>2.7079041526618237</x:v>
      </x:c>
      <x:c r="H19" s="142" t="n">
        <x:v>2.7</x:v>
      </x:c>
      <x:c r="I19" s="126" t="b">
        <x:f>ABS(ROUND(G19,1)-H19)&lt;0.001</x:f>
        <x:v>1</x:v>
      </x:c>
      <x:c r="J19" s="143" t="str">
        <x:v>Combined-set sampling/count interpretation needs explicit provenance.</x:v>
      </x:c>
      <x:c r="K19" s="143" t="str">
        <x:v>https://www.tcgplayer.com/content/article/Pok%C3%A9mon-TCG-Black-Bolt-and-White-Flare-Pull-Rates/bac92199-a2a7-4668-b4a4-2647a111776f/</x:v>
      </x:c>
      <x:c r="L19" s="109"/>
      <x:c r="M19" s="109"/>
      <x:c r="N19" s="109"/>
      <x:c r="O19" s="109"/>
      <x:c r="P19" s="109"/>
      <x:c r="Q19" s="109"/>
    </x:row>
    <x:row r="20">
      <x:c r="A20" s="111" t="str">
        <x:v>Black Bolt</x:v>
      </x:c>
      <x:c r="B20" s="111" t="n">
        <x:v>80</x:v>
      </x:c>
      <x:c r="C20" s="111" t="n">
        <x:v>7</x:v>
      </x:c>
      <x:c r="D20" s="126" t="n">
        <x:f>B20*C20</x:f>
        <x:v>560</x:v>
      </x:c>
      <x:c r="E20" s="136" t="n">
        <x:v>5247</x:v>
      </x:c>
      <x:c r="F20" s="141" t="n">
        <x:f>E20/D20</x:f>
        <x:v>9.369642857142857</x:v>
      </x:c>
      <x:c r="G20" s="135" t="n">
        <x:f>E20/MAX($E$5:$E$23)*10</x:f>
        <x:v>2.844519136940258</x:v>
      </x:c>
      <x:c r="H20" s="142" t="n">
        <x:v>2.8</x:v>
      </x:c>
      <x:c r="I20" s="126" t="b">
        <x:f>ABS(ROUND(G20,1)-H20)&lt;0.001</x:f>
        <x:v>1</x:v>
      </x:c>
      <x:c r="J20" s="143" t="str">
        <x:v>Combined-set sampling/count interpretation needs explicit provenance.</x:v>
      </x:c>
      <x:c r="K20" s="143" t="str">
        <x:v>https://www.tcgplayer.com/content/article/Pok%C3%A9mon-TCG-Black-Bolt-and-White-Flare-Pull-Rates/bac92199-a2a7-4668-b4a4-2647a111776f/</x:v>
      </x:c>
      <x:c r="L20" s="109"/>
      <x:c r="M20" s="109"/>
      <x:c r="N20" s="109"/>
      <x:c r="O20" s="109"/>
      <x:c r="P20" s="109"/>
      <x:c r="Q20" s="109"/>
    </x:row>
    <x:row r="21">
      <x:c r="A21" s="111" t="str">
        <x:v>Mega Evolution</x:v>
      </x:c>
      <x:c r="B21" s="111" t="n">
        <x:v>101</x:v>
      </x:c>
      <x:c r="C21" s="111" t="n">
        <x:v>10</x:v>
      </x:c>
      <x:c r="D21" s="126" t="n">
        <x:f>B21*C21</x:f>
        <x:v>1010</x:v>
      </x:c>
      <x:c r="E21" s="136" t="n">
        <x:v>8787</x:v>
      </x:c>
      <x:c r="F21" s="141" t="n">
        <x:f>E21/D21</x:f>
        <x:v>8.7</x:v>
      </x:c>
      <x:c r="G21" s="135" t="n">
        <x:f>E21/MAX($E$5:$E$23)*10</x:f>
        <x:v>4.763634392280169</x:v>
      </x:c>
      <x:c r="H21" s="142" t="n">
        <x:v>4.8</x:v>
      </x:c>
      <x:c r="I21" s="126" t="b">
        <x:f>ABS(ROUND(G21,1)-H21)&lt;0.001</x:f>
        <x:v>1</x:v>
      </x:c>
      <x:c r="J21" s="143" t="str">
        <x:v>Video inputs align with published SIR odds/count.</x:v>
      </x:c>
      <x:c r="K21" s="143" t="str">
        <x:v>https://www.tcgplayer.com/content/article/Pok%C3%A9mon-TCG-Mega-Evolution-Pull-Rates/40cbeedc-21ce-473b-aef1-74e3969d9f91/</x:v>
      </x:c>
      <x:c r="L21" s="109"/>
      <x:c r="M21" s="109"/>
      <x:c r="N21" s="109"/>
      <x:c r="O21" s="109"/>
      <x:c r="P21" s="109"/>
      <x:c r="Q21" s="109"/>
    </x:row>
    <x:row r="22">
      <x:c r="A22" s="111" t="str">
        <x:v>Phantasmal Flames</x:v>
      </x:c>
      <x:c r="B22" s="111" t="n">
        <x:v>80</x:v>
      </x:c>
      <x:c r="C22" s="111" t="n">
        <x:v>5</x:v>
      </x:c>
      <x:c r="D22" s="126" t="n">
        <x:f>B22*C22</x:f>
        <x:v>400</x:v>
      </x:c>
      <x:c r="E22" s="136" t="n">
        <x:v>3736</x:v>
      </x:c>
      <x:c r="F22" s="141" t="n">
        <x:f>E22/D22</x:f>
        <x:v>9.34</x:v>
      </x:c>
      <x:c r="G22" s="135" t="n">
        <x:f>E22/MAX($E$5:$E$23)*10</x:f>
        <x:v>2.0253713542231377</x:v>
      </x:c>
      <x:c r="H22" s="142" t="n">
        <x:v>2</x:v>
      </x:c>
      <x:c r="I22" s="126" t="b">
        <x:f>ABS(ROUND(G22,1)-H22)&lt;0.001</x:f>
        <x:v>1</x:v>
      </x:c>
      <x:c r="J22" s="143" t="str">
        <x:v>Video inputs align with published SIR odds/count.</x:v>
      </x:c>
      <x:c r="K22" s="143" t="str">
        <x:v>https://www.tcgplayer.com/content/article/Pok%C3%A9mon-TCG-Phantasmal-Flames-Pull-Rates/9abae60d-b7fb-448f-874e-176f78d6a6ca/</x:v>
      </x:c>
      <x:c r="L22" s="109"/>
      <x:c r="M22" s="109"/>
      <x:c r="N22" s="109"/>
      <x:c r="O22" s="109"/>
      <x:c r="P22" s="109"/>
      <x:c r="Q22" s="109"/>
    </x:row>
    <x:row r="23">
      <x:c r="A23" s="111" t="str">
        <x:v>Ascended Heroes</x:v>
      </x:c>
      <x:c r="B23" s="111" t="n">
        <x:v>70</x:v>
      </x:c>
      <x:c r="C23" s="111" t="n">
        <x:v>22</x:v>
      </x:c>
      <x:c r="D23" s="126" t="n">
        <x:f>B23*C23</x:f>
        <x:v>1540</x:v>
      </x:c>
      <x:c r="E23" s="136" t="n">
        <x:v>18341</x:v>
      </x:c>
      <x:c r="F23" s="141" t="n">
        <x:f>E23/D23</x:f>
        <x:v>11.90974025974026</x:v>
      </x:c>
      <x:c r="G23" s="135" t="n">
        <x:f>E23/MAX($E$5:$E$23)*10</x:f>
        <x:v>9.943077089883985</x:v>
      </x:c>
      <x:c r="H23" s="142" t="n">
        <x:v>9.9</x:v>
      </x:c>
      <x:c r="I23" s="126" t="b">
        <x:f>ABS(ROUND(G23,1)-H23)&lt;0.001</x:f>
        <x:v>1</x:v>
      </x:c>
      <x:c r="J23" s="143" t="str">
        <x:v>Video inputs align with published SIR odds/count.</x:v>
      </x:c>
      <x:c r="K23" s="143" t="str">
        <x:v>https://www.tcgplayer.com/content/article/Pok%C3%A9mon-TCG-Ascended-Heroes-Pull-Rates/60143d94-88a7-42ce-8e73-babd7b3fabd6/</x:v>
      </x:c>
      <x:c r="L23" s="109"/>
      <x:c r="M23" s="109"/>
      <x:c r="N23" s="109"/>
      <x:c r="O23" s="109"/>
      <x:c r="P23" s="109"/>
      <x:c r="Q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</x:row>
  </x:sheetData>
  <x:mergeCells>
    <x:mergeCell ref="A1:K2"/>
  </x:mergeCells>
  <x:pageMargins left="0.7" right="0.7" top="0.75" bottom="0.75" header="0.3" footer="0.3"/>
  <x:tableParts count="1">
    <x:tablePart xmlns:r="http://schemas.openxmlformats.org/officeDocument/2006/relationships" r:id="R3eadaefd11534a7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5" t="str">
        <x:v>Character Premium Table Recovered from Video</x:v>
      </x:c>
      <x:c r="B1" s="5"/>
      <x:c r="C1" s="5"/>
      <x:c r="D1" s="5"/>
      <x:c r="E1" s="5"/>
      <x:c r="F1" s="109"/>
      <x:c r="G1" s="109"/>
      <x:c r="H1" s="109"/>
      <x:c r="I1" s="109"/>
      <x:c r="J1" s="109"/>
      <x:c r="K1" s="109"/>
      <x:c r="L1" s="109"/>
      <x:c r="M1" s="109"/>
      <x:c r="N1" s="109"/>
      <x:c r="O1" s="109"/>
      <x:c r="P1" s="109"/>
      <x:c r="Q1" s="109"/>
    </x:row>
    <x:row r="2">
      <x:c r="A2" s="5"/>
      <x:c r="B2" s="5"/>
      <x:c r="C2" s="5"/>
      <x:c r="D2" s="5"/>
      <x:c r="E2" s="5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</x:row>
    <x:row r="4">
      <x:c r="A4" s="22" t="str">
        <x:v>Character</x:v>
      </x:c>
      <x:c r="B4" s="22" t="str">
        <x:v>Weighted Rank</x:v>
      </x:c>
      <x:c r="C4" s="22" t="str">
        <x:v>Normalized Score</x:v>
      </x:c>
      <x:c r="D4" s="22" t="str">
        <x:v>Average Set/Rarity Price Rank</x:v>
      </x:c>
      <x:c r="E4" s="22" t="str">
        <x:v>Print Count</x:v>
      </x:c>
      <x:c r="F4" s="109"/>
      <x:c r="G4" s="39" t="str">
        <x:v>Forensic conclusion</x:v>
      </x:c>
      <x:c r="H4" s="39"/>
      <x:c r="I4" s="39"/>
      <x:c r="J4" s="39"/>
      <x:c r="K4" s="109"/>
      <x:c r="L4" s="109"/>
      <x:c r="M4" s="109"/>
      <x:c r="N4" s="109"/>
      <x:c r="O4" s="109"/>
      <x:c r="P4" s="109"/>
      <x:c r="Q4" s="109"/>
    </x:row>
    <x:row r="5">
      <x:c r="A5" s="111" t="str">
        <x:v>Charizard</x:v>
      </x:c>
      <x:c r="B5" s="111" t="n">
        <x:v>1</x:v>
      </x:c>
      <x:c r="C5" s="134" t="n">
        <x:v>10</x:v>
      </x:c>
      <x:c r="D5" s="134" t="n">
        <x:v>1.1</x:v>
      </x:c>
      <x:c r="E5" s="111" t="n">
        <x:v>15</x:v>
      </x:c>
      <x:c r="F5" s="109"/>
      <x:c r="G5" s="147" t="str">
        <x:v>The narration says every printing across every set and rarity, but the displayed print counts are far too small for that literal universe. The source dataset was filtered—likely to premium/chase cards, selected eras, and/or selected rarity tiers. The exact filter and source date are not disclosed.</x:v>
      </x:c>
      <x:c r="H5" s="147"/>
      <x:c r="I5" s="147"/>
      <x:c r="J5" s="147"/>
      <x:c r="K5" s="109"/>
      <x:c r="L5" s="109"/>
      <x:c r="M5" s="109"/>
      <x:c r="N5" s="109"/>
      <x:c r="O5" s="109"/>
      <x:c r="P5" s="109"/>
      <x:c r="Q5" s="109"/>
    </x:row>
    <x:row r="6">
      <x:c r="A6" s="111" t="str">
        <x:v>Mew</x:v>
      </x:c>
      <x:c r="B6" s="111" t="n">
        <x:v>2</x:v>
      </x:c>
      <x:c r="C6" s="134" t="n">
        <x:v>9.9</x:v>
      </x:c>
      <x:c r="D6" s="134" t="n">
        <x:v>1.4</x:v>
      </x:c>
      <x:c r="E6" s="111" t="n">
        <x:v>5</x:v>
      </x:c>
      <x:c r="F6" s="109"/>
      <x:c r="G6" s="147"/>
      <x:c r="H6" s="147"/>
      <x:c r="I6" s="147"/>
      <x:c r="J6" s="147"/>
      <x:c r="K6" s="109"/>
      <x:c r="L6" s="109"/>
      <x:c r="M6" s="109"/>
      <x:c r="N6" s="109"/>
      <x:c r="O6" s="109"/>
      <x:c r="P6" s="109"/>
      <x:c r="Q6" s="109"/>
    </x:row>
    <x:row r="7">
      <x:c r="A7" s="111" t="str">
        <x:v>Umbreon</x:v>
      </x:c>
      <x:c r="B7" s="111" t="n">
        <x:v>3</x:v>
      </x:c>
      <x:c r="C7" s="134" t="n">
        <x:v>9.8</x:v>
      </x:c>
      <x:c r="D7" s="134" t="n">
        <x:v>1.3</x:v>
      </x:c>
      <x:c r="E7" s="111" t="n">
        <x:v>3</x:v>
      </x:c>
      <x:c r="F7" s="109"/>
      <x:c r="G7" s="147"/>
      <x:c r="H7" s="147"/>
      <x:c r="I7" s="147"/>
      <x:c r="J7" s="147"/>
      <x:c r="K7" s="109"/>
      <x:c r="L7" s="109"/>
      <x:c r="M7" s="109"/>
      <x:c r="N7" s="109"/>
      <x:c r="O7" s="109"/>
      <x:c r="P7" s="109"/>
      <x:c r="Q7" s="109"/>
    </x:row>
    <x:row r="8">
      <x:c r="A8" s="111" t="str">
        <x:v>Gengar</x:v>
      </x:c>
      <x:c r="B8" s="111" t="n">
        <x:v>4</x:v>
      </x:c>
      <x:c r="C8" s="134" t="n">
        <x:v>9.8</x:v>
      </x:c>
      <x:c r="D8" s="134" t="n">
        <x:v>2.1</x:v>
      </x:c>
      <x:c r="E8" s="111" t="n">
        <x:v>7</x:v>
      </x:c>
      <x:c r="F8" s="109"/>
      <x:c r="G8" s="147"/>
      <x:c r="H8" s="147"/>
      <x:c r="I8" s="147"/>
      <x:c r="J8" s="147"/>
      <x:c r="K8" s="109"/>
      <x:c r="L8" s="109"/>
      <x:c r="M8" s="109"/>
      <x:c r="N8" s="109"/>
      <x:c r="O8" s="109"/>
      <x:c r="P8" s="109"/>
      <x:c r="Q8" s="109"/>
    </x:row>
    <x:row r="9">
      <x:c r="A9" s="111" t="str">
        <x:v>Dragonite</x:v>
      </x:c>
      <x:c r="B9" s="111" t="n">
        <x:v>5</x:v>
      </x:c>
      <x:c r="C9" s="134" t="n">
        <x:v>9.8</x:v>
      </x:c>
      <x:c r="D9" s="134" t="n">
        <x:v>2.3</x:v>
      </x:c>
      <x:c r="E9" s="111" t="n">
        <x:v>6</x:v>
      </x:c>
      <x:c r="F9" s="109"/>
      <x:c r="G9" s="147"/>
      <x:c r="H9" s="147"/>
      <x:c r="I9" s="147"/>
      <x:c r="J9" s="147"/>
      <x:c r="K9" s="109"/>
      <x:c r="L9" s="109"/>
      <x:c r="M9" s="109"/>
      <x:c r="N9" s="109"/>
      <x:c r="O9" s="109"/>
      <x:c r="P9" s="109"/>
      <x:c r="Q9" s="109"/>
    </x:row>
    <x:row r="10">
      <x:c r="A10" s="111" t="str">
        <x:v>Pikachu</x:v>
      </x:c>
      <x:c r="B10" s="111" t="n">
        <x:v>6</x:v>
      </x:c>
      <x:c r="C10" s="134" t="n">
        <x:v>9.8</x:v>
      </x:c>
      <x:c r="D10" s="134" t="n">
        <x:v>2.8</x:v>
      </x:c>
      <x:c r="E10" s="111" t="n">
        <x:v>11</x:v>
      </x:c>
      <x:c r="F10" s="109"/>
      <x:c r="G10" s="147"/>
      <x:c r="H10" s="147"/>
      <x:c r="I10" s="147"/>
      <x:c r="J10" s="147"/>
      <x:c r="K10" s="109"/>
      <x:c r="L10" s="109"/>
      <x:c r="M10" s="109"/>
      <x:c r="N10" s="109"/>
      <x:c r="O10" s="109"/>
      <x:c r="P10" s="109"/>
      <x:c r="Q10" s="109"/>
    </x:row>
    <x:row r="11">
      <x:c r="A11" s="111" t="str">
        <x:v>Victini</x:v>
      </x:c>
      <x:c r="B11" s="111" t="n">
        <x:v>7</x:v>
      </x:c>
      <x:c r="C11" s="134" t="n">
        <x:v>9.8</x:v>
      </x:c>
      <x:c r="D11" s="134" t="n">
        <x:v>2</x:v>
      </x:c>
      <x:c r="E11" s="111" t="n">
        <x:v>4</x:v>
      </x:c>
      <x:c r="F11" s="109"/>
      <x:c r="G11" s="109"/>
      <x:c r="H11" s="109"/>
      <x:c r="I11" s="109"/>
      <x:c r="J11" s="109"/>
      <x:c r="K11" s="109"/>
      <x:c r="L11" s="109"/>
      <x:c r="M11" s="109"/>
      <x:c r="N11" s="109"/>
      <x:c r="O11" s="109"/>
      <x:c r="P11" s="109"/>
      <x:c r="Q11" s="109"/>
    </x:row>
    <x:row r="12">
      <x:c r="A12" s="111" t="str">
        <x:v>Latios</x:v>
      </x:c>
      <x:c r="B12" s="111" t="n">
        <x:v>8</x:v>
      </x:c>
      <x:c r="C12" s="134" t="n">
        <x:v>9.8</x:v>
      </x:c>
      <x:c r="D12" s="134" t="n">
        <x:v>1.5</x:v>
      </x:c>
      <x:c r="E12" s="111" t="n">
        <x:v>2</x:v>
      </x:c>
      <x:c r="F12" s="109"/>
      <x:c r="G12" s="10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</x:row>
    <x:row r="13">
      <x:c r="A13" s="111" t="str">
        <x:v>Squirtle</x:v>
      </x:c>
      <x:c r="B13" s="111" t="n">
        <x:v>9</x:v>
      </x:c>
      <x:c r="C13" s="134" t="n">
        <x:v>9.8</x:v>
      </x:c>
      <x:c r="D13" s="134" t="n">
        <x:v>1.5</x:v>
      </x:c>
      <x:c r="E13" s="111" t="n">
        <x:v>2</x:v>
      </x:c>
      <x:c r="F13" s="109"/>
      <x:c r="G13" s="109"/>
      <x:c r="H13" s="109"/>
      <x:c r="I13" s="109"/>
      <x:c r="J13" s="109"/>
      <x:c r="K13" s="109"/>
      <x:c r="L13" s="109"/>
      <x:c r="M13" s="109"/>
      <x:c r="N13" s="109"/>
      <x:c r="O13" s="109"/>
      <x:c r="P13" s="109"/>
      <x:c r="Q13" s="109"/>
    </x:row>
    <x:row r="14">
      <x:c r="A14" s="111" t="str">
        <x:v>Suicune</x:v>
      </x:c>
      <x:c r="B14" s="111" t="n">
        <x:v>10</x:v>
      </x:c>
      <x:c r="C14" s="134" t="n">
        <x:v>9.8</x:v>
      </x:c>
      <x:c r="D14" s="134" t="n">
        <x:v>1.5</x:v>
      </x:c>
      <x:c r="E14" s="111" t="n">
        <x:v>2</x:v>
      </x:c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</x:row>
    <x:row r="15">
      <x:c r="A15" s="111" t="str">
        <x:v>Bulbasaur</x:v>
      </x:c>
      <x:c r="B15" s="111" t="n">
        <x:v>11</x:v>
      </x:c>
      <x:c r="C15" s="134" t="n">
        <x:v>9.8</x:v>
      </x:c>
      <x:c r="D15" s="134" t="n">
        <x:v>2</x:v>
      </x:c>
      <x:c r="E15" s="111" t="n">
        <x:v>3</x:v>
      </x:c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</x:row>
    <x:row r="16">
      <x:c r="A16" s="111" t="str">
        <x:v>Lapras</x:v>
      </x:c>
      <x:c r="B16" s="111" t="n">
        <x:v>12</x:v>
      </x:c>
      <x:c r="C16" s="134" t="n">
        <x:v>9.8</x:v>
      </x:c>
      <x:c r="D16" s="134" t="n">
        <x:v>2</x:v>
      </x:c>
      <x:c r="E16" s="111" t="n">
        <x:v>3</x:v>
      </x:c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</x:row>
    <x:row r="17">
      <x:c r="A17" s="111" t="str">
        <x:v>Blastoise</x:v>
      </x:c>
      <x:c r="B17" s="111" t="n">
        <x:v>13</x:v>
      </x:c>
      <x:c r="C17" s="134" t="n">
        <x:v>9.7</x:v>
      </x:c>
      <x:c r="D17" s="134" t="n">
        <x:v>2.5</x:v>
      </x:c>
      <x:c r="E17" s="111" t="n">
        <x:v>4</x:v>
      </x:c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</x:row>
    <x:row r="18">
      <x:c r="A18" s="111" t="str">
        <x:v>Mewtwo</x:v>
      </x:c>
      <x:c r="B18" s="111" t="n">
        <x:v>14</x:v>
      </x:c>
      <x:c r="C18" s="134" t="n">
        <x:v>9.7</x:v>
      </x:c>
      <x:c r="D18" s="134" t="n">
        <x:v>3.1</x:v>
      </x:c>
      <x:c r="E18" s="111" t="n">
        <x:v>8</x:v>
      </x:c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</x:row>
    <x:row r="19">
      <x:c r="A19" s="111" t="str">
        <x:v>Reshiram</x:v>
      </x:c>
      <x:c r="B19" s="111" t="n">
        <x:v>15</x:v>
      </x:c>
      <x:c r="C19" s="134" t="n">
        <x:v>9.7</x:v>
      </x:c>
      <x:c r="D19" s="134" t="n">
        <x:v>3.5</x:v>
      </x:c>
      <x:c r="E19" s="111" t="n">
        <x:v>10</x:v>
      </x:c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</x:row>
    <x:row r="20">
      <x:c r="A20" s="111" t="str">
        <x:v>Charmander</x:v>
      </x:c>
      <x:c r="B20" s="111" t="n">
        <x:v>16</x:v>
      </x:c>
      <x:c r="C20" s="134" t="n">
        <x:v>9.7</x:v>
      </x:c>
      <x:c r="D20" s="134" t="n">
        <x:v>2</x:v>
      </x:c>
      <x:c r="E20" s="111" t="n">
        <x:v>2</x:v>
      </x:c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</x:row>
    <x:row r="21">
      <x:c r="A21" s="111" t="str">
        <x:v>Typhlosion</x:v>
      </x:c>
      <x:c r="B21" s="111" t="n">
        <x:v>17</x:v>
      </x:c>
      <x:c r="C21" s="134" t="n">
        <x:v>9.7</x:v>
      </x:c>
      <x:c r="D21" s="134" t="n">
        <x:v>2</x:v>
      </x:c>
      <x:c r="E21" s="111" t="n">
        <x:v>2</x:v>
      </x:c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</x:row>
    <x:row r="22">
      <x:c r="A22" s="111" t="str">
        <x:v>Eevee</x:v>
      </x:c>
      <x:c r="B22" s="111" t="n">
        <x:v>18</x:v>
      </x:c>
      <x:c r="C22" s="134" t="n">
        <x:v>9.7</x:v>
      </x:c>
      <x:c r="D22" s="134" t="n">
        <x:v>2.8</x:v>
      </x:c>
      <x:c r="E22" s="111" t="n">
        <x:v>4</x:v>
      </x:c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</x:row>
    <x:row r="23">
      <x:c r="A23" s="111" t="str">
        <x:v>Pidgeot</x:v>
      </x:c>
      <x:c r="B23" s="111" t="n">
        <x:v>19</x:v>
      </x:c>
      <x:c r="C23" s="134" t="n">
        <x:v>9.7</x:v>
      </x:c>
      <x:c r="D23" s="134" t="n">
        <x:v>2.8</x:v>
      </x:c>
      <x:c r="E23" s="111" t="n">
        <x:v>4</x:v>
      </x:c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</x:row>
    <x:row r="24">
      <x:c r="A24" s="111" t="str">
        <x:v>Greninja</x:v>
      </x:c>
      <x:c r="B24" s="111" t="n">
        <x:v>20</x:v>
      </x:c>
      <x:c r="C24" s="134" t="n">
        <x:v>9.7</x:v>
      </x:c>
      <x:c r="D24" s="134" t="n">
        <x:v>2.8</x:v>
      </x:c>
      <x:c r="E24" s="111" t="n">
        <x:v>4</x:v>
      </x:c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</x:row>
  </x:sheetData>
  <x:mergeCells>
    <x:mergeCell ref="A1:E2"/>
    <x:mergeCell ref="G4:J4"/>
    <x:mergeCell ref="G5:J10"/>
  </x:mergeCells>
  <x:pageMargins left="0.7" right="0.7" top="0.75" bottom="0.75" header="0.3" footer="0.3"/>
  <x:tableParts count="1">
    <x:tablePart xmlns:r="http://schemas.openxmlformats.org/officeDocument/2006/relationships" r:id="Rbd69b0bc3d68490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9" hidden="0" customWidth="1"/>
    <x:col min="8" max="8" width="52" hidden="0" customWidth="1"/>
  </x:cols>
  <x:sheetData>
    <x:row r="1">
      <x:c r="A1" s="5" t="str">
        <x:v>Market-Price Date Forensics</x:v>
      </x:c>
      <x:c r="B1" s="5"/>
      <x:c r="C1" s="5"/>
      <x:c r="D1" s="5"/>
      <x:c r="E1" s="5"/>
      <x:c r="F1" s="5"/>
      <x:c r="G1" s="5"/>
      <x:c r="H1" s="5"/>
      <x:c r="I1" s="109"/>
      <x:c r="J1" s="109"/>
      <x:c r="K1" s="109"/>
      <x:c r="L1" s="109"/>
      <x:c r="M1" s="109"/>
      <x:c r="N1" s="109"/>
      <x:c r="O1" s="109"/>
      <x:c r="P1" s="109"/>
      <x:c r="Q1" s="109"/>
    </x:row>
    <x:row r="2">
      <x:c r="A2" s="5"/>
      <x:c r="B2" s="5"/>
      <x:c r="C2" s="5"/>
      <x:c r="D2" s="5"/>
      <x:c r="E2" s="5"/>
      <x:c r="F2" s="5"/>
      <x:c r="G2" s="5"/>
      <x:c r="H2" s="5"/>
      <x:c r="I2" s="109"/>
      <x:c r="J2" s="109"/>
      <x:c r="K2" s="109"/>
      <x:c r="L2" s="109"/>
      <x:c r="M2" s="109"/>
      <x:c r="N2" s="109"/>
      <x:c r="O2" s="109"/>
      <x:c r="P2" s="109"/>
      <x:c r="Q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</x:row>
    <x:row r="4">
      <x:c r="A4" s="22" t="str">
        <x:v>Card</x:v>
      </x:c>
      <x:c r="B4" s="22" t="str">
        <x:v>Video Market Price ($)</x:v>
      </x:c>
      <x:c r="C4" s="22" t="str">
        <x:v>Nearest Date A</x:v>
      </x:c>
      <x:c r="D4" s="22" t="str">
        <x:v>Price A ($)</x:v>
      </x:c>
      <x:c r="E4" s="22" t="str">
        <x:v>Nearest Date B</x:v>
      </x:c>
      <x:c r="F4" s="22" t="str">
        <x:v>Price B ($)</x:v>
      </x:c>
      <x:c r="G4" s="22" t="str">
        <x:v>Interpretation</x:v>
      </x:c>
      <x:c r="H4" s="22" t="str">
        <x:v>History URL</x:v>
      </x:c>
      <x:c r="I4" s="109"/>
      <x:c r="J4" s="109"/>
      <x:c r="K4" s="109"/>
      <x:c r="L4" s="109"/>
      <x:c r="M4" s="109"/>
      <x:c r="N4" s="109"/>
      <x:c r="O4" s="109"/>
      <x:c r="P4" s="109"/>
      <x:c r="Q4" s="109"/>
    </x:row>
    <x:row r="5">
      <x:c r="A5" s="111" t="str">
        <x:v>Mega Dragonite ex #290</x:v>
      </x:c>
      <x:c r="B5" s="133" t="n">
        <x:v>642</x:v>
      </x:c>
      <x:c r="C5" s="149" t="n">
        <x:v>46098</x:v>
      </x:c>
      <x:c r="D5" s="150" t="n">
        <x:v>637.43</x:v>
      </x:c>
      <x:c r="E5" s="149" t="n">
        <x:v>46099</x:v>
      </x:c>
      <x:c r="F5" s="150" t="n">
        <x:v>647.03</x:v>
      </x:c>
      <x:c r="G5" s="143" t="str">
        <x:v>Video value aligns with mid-March, not early April.</x:v>
      </x:c>
      <x:c r="H5" s="143" t="str">
        <x:v>https://ccmakesthings.com/pokemon/set/ascended-heroes/7540</x:v>
      </x:c>
      <x:c r="I5" s="109"/>
      <x:c r="J5" s="109"/>
      <x:c r="K5" s="109"/>
      <x:c r="L5" s="109"/>
      <x:c r="M5" s="109"/>
      <x:c r="N5" s="109"/>
      <x:c r="O5" s="109"/>
      <x:c r="P5" s="109"/>
      <x:c r="Q5" s="109"/>
    </x:row>
    <x:row r="6">
      <x:c r="A6" s="111" t="str">
        <x:v>Mega Gengar ex #284</x:v>
      </x:c>
      <x:c r="B6" s="133" t="n">
        <x:v>1064</x:v>
      </x:c>
      <x:c r="C6" s="149" t="n">
        <x:v>46106</x:v>
      </x:c>
      <x:c r="D6" s="150" t="n">
        <x:v>1039.47</x:v>
      </x:c>
      <x:c r="E6" s="149" t="n">
        <x:v>46107</x:v>
      </x:c>
      <x:c r="F6" s="150" t="n">
        <x:v>1075</x:v>
      </x:c>
      <x:c r="G6" s="143" t="str">
        <x:v>Video value aligns with late March.</x:v>
      </x:c>
      <x:c r="H6" s="143" t="str">
        <x:v>https://ccmakesthings.com/pokemon/set/ascended-heroes/7534</x:v>
      </x:c>
      <x:c r="I6" s="109"/>
      <x:c r="J6" s="109"/>
      <x:c r="K6" s="109"/>
      <x:c r="L6" s="109"/>
      <x:c r="M6" s="109"/>
      <x:c r="N6" s="109"/>
      <x:c r="O6" s="109"/>
      <x:c r="P6" s="109"/>
      <x:c r="Q6" s="109"/>
    </x:row>
    <x:row r="7">
      <x:c r="A7" s="111" t="str">
        <x:v>Pikachu ex #276</x:v>
      </x:c>
      <x:c r="B7" s="133" t="n">
        <x:v>667</x:v>
      </x:c>
      <x:c r="C7" s="149" t="n">
        <x:v>46114</x:v>
      </x:c>
      <x:c r="D7" s="150" t="n">
        <x:v>663.94</x:v>
      </x:c>
      <x:c r="E7" s="149" t="n">
        <x:v>46115</x:v>
      </x:c>
      <x:c r="F7" s="150" t="n">
        <x:v>669.74</x:v>
      </x:c>
      <x:c r="G7" s="143" t="str">
        <x:v>Video value aligns with early April.</x:v>
      </x:c>
      <x:c r="H7" s="143" t="str">
        <x:v>https://ccmakesthings.com/pokemon/set/ascended-heroes/7526</x:v>
      </x:c>
      <x:c r="I7" s="109"/>
      <x:c r="J7" s="109"/>
      <x:c r="K7" s="109"/>
      <x:c r="L7" s="109"/>
      <x:c r="M7" s="109"/>
      <x:c r="N7" s="109"/>
      <x:c r="O7" s="109"/>
      <x:c r="P7" s="109"/>
      <x:c r="Q7" s="109"/>
    </x:row>
    <x:row r="8">
      <x:c r="A8" s="111" t="str">
        <x:v>Mega Charizard X ex #125</x:v>
      </x:c>
      <x:c r="B8" s="133" t="n">
        <x:v>802</x:v>
      </x:c>
      <x:c r="C8" s="149" t="n">
        <x:v>46111</x:v>
      </x:c>
      <x:c r="D8" s="150" t="n">
        <x:v>806.17</x:v>
      </x:c>
      <x:c r="E8" s="149" t="n">
        <x:v>46124</x:v>
      </x:c>
      <x:c r="F8" s="150" t="n">
        <x:v>807.35</x:v>
      </x:c>
      <x:c r="G8" s="143" t="str">
        <x:v>Several late-March/April values are close; no common date matches all four cards.</x:v>
      </x:c>
      <x:c r="H8" s="143" t="str">
        <x:v>https://ccmakesthings.com/pokemon/set/phantasmal-flames/7245</x:v>
      </x:c>
      <x:c r="I8" s="109"/>
      <x:c r="J8" s="109"/>
      <x:c r="K8" s="109"/>
      <x:c r="L8" s="109"/>
      <x:c r="M8" s="109"/>
      <x:c r="N8" s="109"/>
      <x:c r="O8" s="109"/>
      <x:c r="P8" s="109"/>
      <x:c r="Q8" s="109"/>
    </x:row>
    <x:row r="9">
      <x:c r="A9" s="109"/>
      <x:c r="B9" s="109"/>
      <x:c r="C9" s="109"/>
      <x:c r="D9" s="109"/>
      <x:c r="E9" s="109"/>
      <x:c r="F9" s="109"/>
      <x:c r="G9" s="109"/>
      <x:c r="H9" s="109"/>
      <x:c r="I9" s="109"/>
      <x:c r="J9" s="109"/>
      <x:c r="K9" s="109"/>
      <x:c r="L9" s="109"/>
      <x:c r="M9" s="109"/>
      <x:c r="N9" s="109"/>
      <x:c r="O9" s="109"/>
      <x:c r="P9" s="109"/>
      <x:c r="Q9" s="109"/>
    </x:row>
    <x:row r="10">
      <x:c r="A10" s="109"/>
      <x:c r="B10" s="109"/>
      <x:c r="C10" s="109"/>
      <x:c r="D10" s="109"/>
      <x:c r="E10" s="109"/>
      <x:c r="F10" s="109"/>
      <x:c r="G10" s="109"/>
      <x:c r="H10" s="109"/>
      <x:c r="I10" s="109"/>
      <x:c r="J10" s="109"/>
      <x:c r="K10" s="109"/>
      <x:c r="L10" s="109"/>
      <x:c r="M10" s="109"/>
      <x:c r="N10" s="109"/>
      <x:c r="O10" s="109"/>
      <x:c r="P10" s="109"/>
      <x:c r="Q10" s="109"/>
    </x:row>
    <x:row r="11">
      <x:c r="A11" s="102" t="str">
        <x:v>Finding: the four displayed prices align with different points in the TCGCSV-derived histories. The workbook therefore did not use one immutable as-of snapshot—or at least the presentation table was refreshed asynchronously. For CollectFolio, every feature and target must carry the same model-run cutoff.</x:v>
      </x:c>
      <x:c r="B11" s="102"/>
      <x:c r="C11" s="102"/>
      <x:c r="D11" s="102"/>
      <x:c r="E11" s="102"/>
      <x:c r="F11" s="102"/>
      <x:c r="G11" s="102"/>
      <x:c r="H11" s="102"/>
      <x:c r="I11" s="109"/>
      <x:c r="J11" s="109"/>
      <x:c r="K11" s="109"/>
      <x:c r="L11" s="109"/>
      <x:c r="M11" s="109"/>
      <x:c r="N11" s="109"/>
      <x:c r="O11" s="109"/>
      <x:c r="P11" s="109"/>
      <x:c r="Q11" s="109"/>
    </x:row>
    <x:row r="12">
      <x:c r="A12" s="102"/>
      <x:c r="B12" s="102"/>
      <x:c r="C12" s="102"/>
      <x:c r="D12" s="102"/>
      <x:c r="E12" s="102"/>
      <x:c r="F12" s="102"/>
      <x:c r="G12" s="102"/>
      <x:c r="H12" s="102"/>
      <x:c r="I12" s="109"/>
      <x:c r="J12" s="109"/>
      <x:c r="K12" s="109"/>
      <x:c r="L12" s="109"/>
      <x:c r="M12" s="109"/>
      <x:c r="N12" s="109"/>
      <x:c r="O12" s="109"/>
      <x:c r="P12" s="109"/>
      <x:c r="Q12" s="109"/>
    </x:row>
    <x:row r="13">
      <x:c r="A13" s="102"/>
      <x:c r="B13" s="102"/>
      <x:c r="C13" s="102"/>
      <x:c r="D13" s="102"/>
      <x:c r="E13" s="102"/>
      <x:c r="F13" s="102"/>
      <x:c r="G13" s="102"/>
      <x:c r="H13" s="102"/>
      <x:c r="I13" s="109"/>
      <x:c r="J13" s="109"/>
      <x:c r="K13" s="109"/>
      <x:c r="L13" s="109"/>
      <x:c r="M13" s="109"/>
      <x:c r="N13" s="109"/>
      <x:c r="O13" s="109"/>
      <x:c r="P13" s="109"/>
      <x:c r="Q13" s="109"/>
    </x:row>
    <x:row r="14">
      <x:c r="A14" s="109"/>
      <x:c r="B14" s="109"/>
      <x:c r="C14" s="109"/>
      <x:c r="D14" s="109"/>
      <x:c r="E14" s="109"/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</x:row>
    <x:row r="15">
      <x:c r="A15" s="109"/>
      <x:c r="B15" s="109"/>
      <x:c r="C15" s="109"/>
      <x:c r="D15" s="109"/>
      <x:c r="E15" s="109"/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</x:row>
    <x:row r="16">
      <x:c r="A16" s="109"/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</x:row>
    <x:row r="17">
      <x:c r="A17" s="109"/>
      <x:c r="B17" s="109"/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</x:row>
    <x:row r="18">
      <x:c r="A18" s="109"/>
      <x:c r="B18" s="109"/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</x:row>
  </x:sheetData>
  <x:mergeCells>
    <x:mergeCell ref="A1:H2"/>
    <x:mergeCell ref="A11:H1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35" hidden="0" customWidth="1"/>
    <x:col min="4" max="4" width="35" hidden="0" customWidth="1"/>
    <x:col min="5" max="5" width="35" hidden="0" customWidth="1"/>
  </x:cols>
  <x:sheetData>
    <x:row r="1">
      <x:c r="A1" s="5" t="str">
        <x:v>CollectFolio Canonical Replacement Specification</x:v>
      </x:c>
      <x:c r="B1" s="5"/>
      <x:c r="C1" s="5"/>
      <x:c r="D1" s="5"/>
      <x:c r="E1" s="5"/>
      <x:c r="F1" s="109"/>
      <x:c r="G1" s="109"/>
      <x:c r="H1" s="109"/>
      <x:c r="I1" s="109"/>
      <x:c r="J1" s="109"/>
      <x:c r="K1" s="109"/>
      <x:c r="L1" s="109"/>
      <x:c r="M1" s="109"/>
      <x:c r="N1" s="109"/>
      <x:c r="O1" s="109"/>
      <x:c r="P1" s="109"/>
      <x:c r="Q1" s="109"/>
    </x:row>
    <x:row r="2">
      <x:c r="A2" s="5"/>
      <x:c r="B2" s="5"/>
      <x:c r="C2" s="5"/>
      <x:c r="D2" s="5"/>
      <x:c r="E2" s="5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</x:row>
    <x:row r="4">
      <x:c r="A4" s="22" t="str">
        <x:v>Area</x:v>
      </x:c>
      <x:c r="B4" s="22" t="str">
        <x:v>Canonical Rule</x:v>
      </x:c>
      <x:c r="C4" s="22" t="str">
        <x:v>Stored Provenance</x:v>
      </x:c>
      <x:c r="D4" s="22" t="str">
        <x:v>Validation</x:v>
      </x:c>
      <x:c r="E4" s="22" t="str">
        <x:v>Reason</x:v>
      </x:c>
      <x:c r="F4" s="109"/>
      <x:c r="G4" s="109"/>
      <x:c r="H4" s="109"/>
      <x:c r="I4" s="109"/>
      <x:c r="J4" s="109"/>
      <x:c r="K4" s="109"/>
      <x:c r="L4" s="109"/>
      <x:c r="M4" s="109"/>
      <x:c r="N4" s="109"/>
      <x:c r="O4" s="109"/>
      <x:c r="P4" s="109"/>
      <x:c r="Q4" s="109"/>
    </x:row>
    <x:row r="5">
      <x:c r="A5" s="153" t="str">
        <x:v>Model identity</x:v>
      </x:c>
      <x:c r="B5" s="114" t="str">
        <x:v>Keep 'video_model_v0' as an educational/audit baseline. Do not present it as a future-price forecast.</x:v>
      </x:c>
      <x:c r="C5" s="114" t="str">
        <x:v>model_version, code hash, dataset hash, created_at</x:v>
      </x:c>
      <x:c r="D5" s="114" t="str">
        <x:v>Reproduce every published row from one run</x:v>
      </x:c>
      <x:c r="E5" s="114" t="str">
        <x:v>Separates historical reconstruction from production forecasting.</x:v>
      </x:c>
      <x:c r="F5" s="109"/>
      <x:c r="G5" s="109"/>
      <x:c r="H5" s="109"/>
      <x:c r="I5" s="109"/>
      <x:c r="J5" s="109"/>
      <x:c r="K5" s="109"/>
      <x:c r="L5" s="109"/>
      <x:c r="M5" s="109"/>
      <x:c r="N5" s="109"/>
      <x:c r="O5" s="109"/>
      <x:c r="P5" s="109"/>
      <x:c r="Q5" s="109"/>
    </x:row>
    <x:row r="6">
      <x:c r="A6" s="153" t="str">
        <x:v>Point-in-time cutoff</x:v>
      </x:c>
      <x:c r="B6" s="114" t="str">
        <x:v>One immutable as_of timestamp per run. No input may be newer than the cutoff.</x:v>
      </x:c>
      <x:c r="C6" s="114" t="str">
        <x:v>source_observed_at, ingested_at, feature_cutoff</x:v>
      </x:c>
      <x:c r="D6" s="114" t="str">
        <x:v>Automated leakage audit</x:v>
      </x:c>
      <x:c r="E6" s="114" t="str">
        <x:v>Prevents mixed-date tables and future-data leakage.</x:v>
      </x:c>
      <x:c r="F6" s="109"/>
      <x:c r="G6" s="109"/>
      <x:c r="H6" s="109"/>
      <x:c r="I6" s="109"/>
      <x:c r="J6" s="109"/>
      <x:c r="K6" s="109"/>
      <x:c r="L6" s="109"/>
      <x:c r="M6" s="109"/>
      <x:c r="N6" s="109"/>
      <x:c r="O6" s="109"/>
      <x:c r="P6" s="109"/>
      <x:c r="Q6" s="109"/>
    </x:row>
    <x:row r="7">
      <x:c r="A7" s="153" t="str">
        <x:v>Pull probability</x:v>
      </x:c>
      <x:c r="B7" s="114" t="str">
        <x:v>specific_p = rarity_p / eligible_count; expected_packs = 1/specific_p.</x:v>
      </x:c>
      <x:c r="C7" s="114" t="str">
        <x:v>source URL, sample size, confidence interval, assumptions</x:v>
      </x:c>
      <x:c r="D7" s="114" t="str">
        <x:v>Recompute against source</x:v>
      </x:c>
      <x:c r="E7" s="114" t="str">
        <x:v>Preserves raw scarcity instead of only a normalized score.</x:v>
      </x:c>
      <x:c r="F7" s="109"/>
      <x:c r="G7" s="109"/>
      <x:c r="H7" s="109"/>
      <x:c r="I7" s="109"/>
      <x:c r="J7" s="109"/>
      <x:c r="K7" s="109"/>
      <x:c r="L7" s="109"/>
      <x:c r="M7" s="109"/>
      <x:c r="N7" s="109"/>
      <x:c r="O7" s="109"/>
      <x:c r="P7" s="109"/>
      <x:c r="Q7" s="109"/>
    </x:row>
    <x:row r="8">
      <x:c r="A8" s="153" t="str">
        <x:v>Legacy pull score</x:v>
      </x:c>
      <x:c r="B8" s="114" t="str">
        <x:v>For exact video audit only: 10 × pull_cost / 18,446 using the fixed 22-row version maximum.</x:v>
      </x:c>
      <x:c r="C8" s="114" t="str">
        <x:v>normalization constant and model version</x:v>
      </x:c>
      <x:c r="D8" s="114" t="str">
        <x:v>Rounded values must match video</x:v>
      </x:c>
      <x:c r="E8" s="114" t="str">
        <x:v>Avoids retroactively changing historical scores when new sets appear.</x:v>
      </x:c>
      <x:c r="F8" s="109"/>
      <x:c r="G8" s="109"/>
      <x:c r="H8" s="109"/>
      <x:c r="I8" s="109"/>
      <x:c r="J8" s="109"/>
      <x:c r="K8" s="109"/>
      <x:c r="L8" s="109"/>
      <x:c r="M8" s="109"/>
      <x:c r="N8" s="109"/>
      <x:c r="O8" s="109"/>
      <x:c r="P8" s="109"/>
      <x:c r="Q8" s="109"/>
    </x:row>
    <x:row r="9">
      <x:c r="A9" s="153" t="str">
        <x:v>Production scarcity</x:v>
      </x:c>
      <x:c r="B9" s="114" t="str">
        <x:v>Use -LN(specific_p) and store pack price separately; do not make sample-maximum normalization the core feature.</x:v>
      </x:c>
      <x:c r="C9" s="114" t="str">
        <x:v>probability version and pack-price snapshot</x:v>
      </x:c>
      <x:c r="D9" s="114" t="str">
        <x:v>Out-of-sample ablation</x:v>
      </x:c>
      <x:c r="E9" s="114" t="str">
        <x:v>Stable across future sets and reduces endogenous price feedback.</x:v>
      </x:c>
      <x:c r="F9" s="109"/>
      <x:c r="G9" s="109"/>
      <x:c r="H9" s="109"/>
      <x:c r="I9" s="109"/>
      <x:c r="J9" s="109"/>
      <x:c r="K9" s="109"/>
      <x:c r="L9" s="109"/>
      <x:c r="M9" s="109"/>
      <x:c r="N9" s="109"/>
      <x:c r="O9" s="109"/>
      <x:c r="P9" s="109"/>
      <x:c r="Q9" s="109"/>
    </x:row>
    <x:row r="10">
      <x:c r="A10" s="153" t="str">
        <x:v>Character premium</x:v>
      </x:c>
      <x:c r="B10" s="114" t="str">
        <x:v>Use only eligible prior cards; exclude the target; control for set, rarity, age, and card type; regularize small samples.</x:v>
      </x:c>
      <x:c r="C10" s="114" t="str">
        <x:v>eligible-universe query, excluded IDs, cutoff</x:v>
      </x:c>
      <x:c r="D10" s="114" t="str">
        <x:v>Leave-one-card/set-out tests</x:v>
      </x:c>
      <x:c r="E10" s="114" t="str">
        <x:v>Eliminates direct target leakage and unstable small-sample ranks.</x:v>
      </x:c>
      <x:c r="F10" s="109"/>
      <x:c r="G10" s="109"/>
      <x:c r="H10" s="109"/>
      <x:c r="I10" s="109"/>
      <x:c r="J10" s="109"/>
      <x:c r="K10" s="109"/>
      <x:c r="L10" s="109"/>
      <x:c r="M10" s="109"/>
      <x:c r="N10" s="109"/>
      <x:c r="O10" s="109"/>
      <x:c r="P10" s="109"/>
      <x:c r="Q10" s="109"/>
    </x:row>
    <x:row r="11">
      <x:c r="A11" s="153" t="str">
        <x:v>Artwork desirability</x:v>
      </x:c>
      <x:c r="B11" s="114" t="str">
        <x:v>Use blind pairwise collector comparisons, not one analyst's unblinded 1–10 opinion.</x:v>
      </x:c>
      <x:c r="C11" s="114" t="str">
        <x:v>vote count, rater cohort, ranking version, uncertainty</x:v>
      </x:c>
      <x:c r="D11" s="114" t="str">
        <x:v>Inter-rater reliability and holdout tests</x:v>
      </x:c>
      <x:c r="E11" s="114" t="str">
        <x:v>Creates reproducible demand data.</x:v>
      </x:c>
      <x:c r="F11" s="109"/>
      <x:c r="G11" s="109"/>
      <x:c r="H11" s="109"/>
      <x:c r="I11" s="109"/>
      <x:c r="J11" s="109"/>
      <x:c r="K11" s="109"/>
      <x:c r="L11" s="109"/>
      <x:c r="M11" s="109"/>
      <x:c r="N11" s="109"/>
      <x:c r="O11" s="109"/>
      <x:c r="P11" s="109"/>
      <x:c r="Q11" s="109"/>
    </x:row>
    <x:row r="12">
      <x:c r="A12" s="153" t="str">
        <x:v>Universal appeal</x:v>
      </x:c>
      <x:c r="B12" s="114" t="str">
        <x:v>Persist exact term/topic, search property, geography, category, time range, comparison anchors, and exported results.</x:v>
      </x:c>
      <x:c r="C12" s="114" t="str">
        <x:v>raw CSV/hash and query parameters</x:v>
      </x:c>
      <x:c r="D12" s="114" t="str">
        <x:v>Repeatability check</x:v>
      </x:c>
      <x:c r="E12" s="114" t="str">
        <x:v>Google Trends UI values are context-normalized.</x:v>
      </x:c>
      <x:c r="F12" s="109"/>
      <x:c r="G12" s="10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</x:row>
    <x:row r="13">
      <x:c r="A13" s="153" t="str">
        <x:v>Regression</x:v>
      </x:c>
      <x:c r="B13" s="114" t="str">
        <x:v>Log-price baseline with declared top-level features and prediction intervals.</x:v>
      </x:c>
      <x:c r="C13" s="114" t="str">
        <x:v>coefficient table, training rows, residual diagnostics</x:v>
      </x:c>
      <x:c r="D13" s="114" t="str">
        <x:v>Grouped and time-based cross-validation</x:v>
      </x:c>
      <x:c r="E13" s="114" t="str">
        <x:v>Prevents hidden transformations and unsupported '90% accuracy' claims.</x:v>
      </x:c>
      <x:c r="F13" s="109"/>
      <x:c r="G13" s="109"/>
      <x:c r="H13" s="109"/>
      <x:c r="I13" s="109"/>
      <x:c r="J13" s="109"/>
      <x:c r="K13" s="109"/>
      <x:c r="L13" s="109"/>
      <x:c r="M13" s="109"/>
      <x:c r="N13" s="109"/>
      <x:c r="O13" s="109"/>
      <x:c r="P13" s="109"/>
      <x:c r="Q13" s="109"/>
    </x:row>
    <x:row r="14">
      <x:c r="A14" s="153" t="str">
        <x:v>Forecasting</x:v>
      </x:c>
      <x:c r="B14" s="114" t="str">
        <x:v>Separate structural fair value from 7/30/90/180/365-day return forecasts.</x:v>
      </x:c>
      <x:c r="C14" s="114" t="str">
        <x:v>prediction origin, horizon, quantiles, feature snapshot</x:v>
      </x:c>
      <x:c r="D14" s="114" t="str">
        <x:v>Walk-forward ledger vs no-change baseline</x:v>
      </x:c>
      <x:c r="E14" s="114" t="str">
        <x:v>Explaining today's price is not the same as predicting future returns.</x:v>
      </x:c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</x:row>
    <x:row r="15">
      <x:c r="A15" s="153" t="str">
        <x:v>Presentation</x:v>
      </x:c>
      <x:c r="B15" s="114" t="str">
        <x:v>Generate every table/chart directly from the immutable model run; never paste stale output.</x:v>
      </x:c>
      <x:c r="C15" s="114" t="str">
        <x:v>rendered artifact hash and run ID</x:v>
      </x:c>
      <x:c r="D15" s="114" t="str">
        <x:v>CI consistency test</x:v>
      </x:c>
      <x:c r="E15" s="114" t="str">
        <x:v>Prevents coefficient/prediction version mismatches.</x:v>
      </x:c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</x:row>
    <x:row r="16">
      <x:c r="A16" s="109"/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</x:row>
    <x:row r="17">
      <x:c r="A17" s="109"/>
      <x:c r="B17" s="109"/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</x:row>
    <x:row r="18">
      <x:c r="A18" s="109"/>
      <x:c r="B18" s="109"/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c0c087e8a1f048b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70" hidden="0" customWidth="1"/>
  </x:cols>
  <x:sheetData>
    <x:row r="1">
      <x:c r="A1" s="5" t="str">
        <x:v>Sources and Provenance</x:v>
      </x:c>
      <x:c r="B1" s="5"/>
      <x:c r="C1" s="5"/>
      <x:c r="D1" s="109"/>
      <x:c r="E1" s="109"/>
      <x:c r="F1" s="109"/>
      <x:c r="G1" s="109"/>
      <x:c r="H1" s="109"/>
      <x:c r="I1" s="109"/>
      <x:c r="J1" s="109"/>
      <x:c r="K1" s="109"/>
      <x:c r="L1" s="109"/>
      <x:c r="M1" s="109"/>
      <x:c r="N1" s="109"/>
      <x:c r="O1" s="109"/>
      <x:c r="P1" s="109"/>
      <x:c r="Q1" s="109"/>
    </x:row>
    <x:row r="2">
      <x:c r="A2" s="5"/>
      <x:c r="B2" s="5"/>
      <x:c r="C2" s="5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</x:row>
    <x:row r="4">
      <x:c r="A4" s="22" t="str">
        <x:v>Source</x:v>
      </x:c>
      <x:c r="B4" s="22" t="str">
        <x:v>Use</x:v>
      </x:c>
      <x:c r="C4" s="22" t="str">
        <x:v>Location / URL</x:v>
      </x:c>
      <x:c r="D4" s="109"/>
      <x:c r="E4" s="109"/>
      <x:c r="F4" s="109"/>
      <x:c r="G4" s="109"/>
      <x:c r="H4" s="109"/>
      <x:c r="I4" s="109"/>
      <x:c r="J4" s="109"/>
      <x:c r="K4" s="109"/>
      <x:c r="L4" s="109"/>
      <x:c r="M4" s="109"/>
      <x:c r="N4" s="109"/>
      <x:c r="O4" s="109"/>
      <x:c r="P4" s="109"/>
      <x:c r="Q4" s="109"/>
    </x:row>
    <x:row r="5">
      <x:c r="A5" s="114" t="str">
        <x:v>User-supplied transcript</x:v>
      </x:c>
      <x:c r="B5" s="114" t="str">
        <x:v>Video narration and disclosed methodology</x:v>
      </x:c>
      <x:c r="C5" s="143" t="str">
        <x:v>Attached transcript in this conversation</x:v>
      </x:c>
      <x:c r="D5" s="109"/>
      <x:c r="E5" s="109"/>
      <x:c r="F5" s="109"/>
      <x:c r="G5" s="109"/>
      <x:c r="H5" s="109"/>
      <x:c r="I5" s="109"/>
      <x:c r="J5" s="109"/>
      <x:c r="K5" s="109"/>
      <x:c r="L5" s="109"/>
      <x:c r="M5" s="109"/>
      <x:c r="N5" s="109"/>
      <x:c r="O5" s="109"/>
      <x:c r="P5" s="109"/>
      <x:c r="Q5" s="109"/>
    </x:row>
    <x:row r="6">
      <x:c r="A6" s="114" t="str">
        <x:v>User-supplied regression screenshot</x:v>
      </x:c>
      <x:c r="B6" s="114" t="str">
        <x:v>Exact regression statistics and coefficients</x:v>
      </x:c>
      <x:c r="C6" s="143" t="str">
        <x:v>Attached image c9204768-c852-4600-98e5-6e0a90ba5475.png</x:v>
      </x:c>
      <x:c r="D6" s="109"/>
      <x:c r="E6" s="109"/>
      <x:c r="F6" s="109"/>
      <x:c r="G6" s="109"/>
      <x:c r="H6" s="109"/>
      <x:c r="I6" s="109"/>
      <x:c r="J6" s="109"/>
      <x:c r="K6" s="109"/>
      <x:c r="L6" s="109"/>
      <x:c r="M6" s="109"/>
      <x:c r="N6" s="109"/>
      <x:c r="O6" s="109"/>
      <x:c r="P6" s="109"/>
      <x:c r="Q6" s="109"/>
    </x:row>
    <x:row r="7">
      <x:c r="A7" s="114" t="str">
        <x:v>User-supplied model table screenshot</x:v>
      </x:c>
      <x:c r="B7" s="114" t="str">
        <x:v>22 prediction rows and displayed inputs/outputs</x:v>
      </x:c>
      <x:c r="C7" s="143" t="str">
        <x:v>Attached image 3f3b2609-1540-45a7-9aec-4ac931d1b6ee.png</x:v>
      </x:c>
      <x:c r="D7" s="109"/>
      <x:c r="E7" s="109"/>
      <x:c r="F7" s="109"/>
      <x:c r="G7" s="109"/>
      <x:c r="H7" s="109"/>
      <x:c r="I7" s="109"/>
      <x:c r="J7" s="109"/>
      <x:c r="K7" s="109"/>
      <x:c r="L7" s="109"/>
      <x:c r="M7" s="109"/>
      <x:c r="N7" s="109"/>
      <x:c r="O7" s="109"/>
      <x:c r="P7" s="109"/>
      <x:c r="Q7" s="109"/>
    </x:row>
    <x:row r="8">
      <x:c r="A8" s="114" t="str">
        <x:v>TCGCSV FAQ</x:v>
      </x:c>
      <x:c r="B8" s="114" t="str">
        <x:v>Daily historical archive from 2024-02-08 onward</x:v>
      </x:c>
      <x:c r="C8" s="143" t="str">
        <x:v>https://tcgcsv.com/faq</x:v>
      </x:c>
      <x:c r="D8" s="109"/>
      <x:c r="E8" s="109"/>
      <x:c r="F8" s="109"/>
      <x:c r="G8" s="109"/>
      <x:c r="H8" s="109"/>
      <x:c r="I8" s="109"/>
      <x:c r="J8" s="109"/>
      <x:c r="K8" s="109"/>
      <x:c r="L8" s="109"/>
      <x:c r="M8" s="109"/>
      <x:c r="N8" s="109"/>
      <x:c r="O8" s="109"/>
      <x:c r="P8" s="109"/>
      <x:c r="Q8" s="109"/>
    </x:row>
    <x:row r="9">
      <x:c r="A9" s="114" t="str">
        <x:v>TCGCSV documentation</x:v>
      </x:c>
      <x:c r="B9" s="114" t="str">
        <x:v>Daily update cadence, TCGplayer-derived fields, marketPrice semantics</x:v>
      </x:c>
      <x:c r="C9" s="143" t="str">
        <x:v>https://tcgcsv.com/docs</x:v>
      </x:c>
      <x:c r="D9" s="109"/>
      <x:c r="E9" s="109"/>
      <x:c r="F9" s="109"/>
      <x:c r="G9" s="109"/>
      <x:c r="H9" s="109"/>
      <x:c r="I9" s="109"/>
      <x:c r="J9" s="109"/>
      <x:c r="K9" s="109"/>
      <x:c r="L9" s="109"/>
      <x:c r="M9" s="109"/>
      <x:c r="N9" s="109"/>
      <x:c r="O9" s="109"/>
      <x:c r="P9" s="109"/>
      <x:c r="Q9" s="109"/>
    </x:row>
    <x:row r="10">
      <x:c r="A10" s="114" t="str">
        <x:v>Google Trends FAQ</x:v>
      </x:c>
      <x:c r="B10" s="114" t="str">
        <x:v>UI normalization by time/location and 0–100 scaling</x:v>
      </x:c>
      <x:c r="C10" s="143" t="str">
        <x:v>https://support.google.com/trends/answer/4365533?hl=en</x:v>
      </x:c>
      <x:c r="D10" s="109"/>
      <x:c r="E10" s="109"/>
      <x:c r="F10" s="109"/>
      <x:c r="G10" s="109"/>
      <x:c r="H10" s="109"/>
      <x:c r="I10" s="109"/>
      <x:c r="J10" s="109"/>
      <x:c r="K10" s="109"/>
      <x:c r="L10" s="109"/>
      <x:c r="M10" s="109"/>
      <x:c r="N10" s="109"/>
      <x:c r="O10" s="109"/>
      <x:c r="P10" s="109"/>
      <x:c r="Q10" s="109"/>
    </x:row>
    <x:row r="11">
      <x:c r="A11" s="114" t="str">
        <x:v>Google Trends API announcement</x:v>
      </x:c>
      <x:c r="B11" s="114" t="str">
        <x:v>Consistently scaled API vs UI scaling; geography/time options</x:v>
      </x:c>
      <x:c r="C11" s="143" t="str">
        <x:v>https://developers.google.com/search/blog/2025/07/trends-api</x:v>
      </x:c>
      <x:c r="D11" s="109"/>
      <x:c r="E11" s="109"/>
      <x:c r="F11" s="109"/>
      <x:c r="G11" s="109"/>
      <x:c r="H11" s="109"/>
      <x:c r="I11" s="109"/>
      <x:c r="J11" s="109"/>
      <x:c r="K11" s="109"/>
      <x:c r="L11" s="109"/>
      <x:c r="M11" s="109"/>
      <x:c r="N11" s="109"/>
      <x:c r="O11" s="109"/>
      <x:c r="P11" s="109"/>
      <x:c r="Q11" s="109"/>
    </x:row>
    <x:row r="12">
      <x:c r="A12" s="114" t="str">
        <x:v>Pikachu TCGCSV-derived history</x:v>
      </x:c>
      <x:c r="B12" s="114" t="str">
        <x:v>Date-mismatch forensics</x:v>
      </x:c>
      <x:c r="C12" s="143" t="str">
        <x:v>https://ccmakesthings.com/pokemon/set/ascended-heroes/7526</x:v>
      </x:c>
      <x:c r="D12" s="109"/>
      <x:c r="E12" s="109"/>
      <x:c r="F12" s="109"/>
      <x:c r="G12" s="10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</x:row>
    <x:row r="13">
      <x:c r="A13" s="114" t="str">
        <x:v>Mega Dragonite TCGCSV-derived history</x:v>
      </x:c>
      <x:c r="B13" s="114" t="str">
        <x:v>Date-mismatch forensics</x:v>
      </x:c>
      <x:c r="C13" s="143" t="str">
        <x:v>https://ccmakesthings.com/pokemon/set/ascended-heroes/7540</x:v>
      </x:c>
      <x:c r="D13" s="109"/>
      <x:c r="E13" s="109"/>
      <x:c r="F13" s="109"/>
      <x:c r="G13" s="109"/>
      <x:c r="H13" s="109"/>
      <x:c r="I13" s="109"/>
      <x:c r="J13" s="109"/>
      <x:c r="K13" s="109"/>
      <x:c r="L13" s="109"/>
      <x:c r="M13" s="109"/>
      <x:c r="N13" s="109"/>
      <x:c r="O13" s="109"/>
      <x:c r="P13" s="109"/>
      <x:c r="Q13" s="109"/>
    </x:row>
    <x:row r="14">
      <x:c r="A14" s="114" t="str">
        <x:v>Mega Gengar TCGCSV-derived history</x:v>
      </x:c>
      <x:c r="B14" s="114" t="str">
        <x:v>Date-mismatch forensics</x:v>
      </x:c>
      <x:c r="C14" s="143" t="str">
        <x:v>https://ccmakesthings.com/pokemon/set/ascended-heroes/7534</x:v>
      </x:c>
      <x:c r="D14" s="109"/>
      <x:c r="E14" s="109"/>
      <x:c r="F14" s="109"/>
      <x:c r="G14" s="109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</x:row>
    <x:row r="15">
      <x:c r="A15" s="114" t="str">
        <x:v>Mega Charizard X TCGCSV-derived history</x:v>
      </x:c>
      <x:c r="B15" s="114" t="str">
        <x:v>Date-mismatch forensics</x:v>
      </x:c>
      <x:c r="C15" s="143" t="str">
        <x:v>https://ccmakesthings.com/pokemon/set/phantasmal-flames/7245</x:v>
      </x:c>
      <x:c r="D15" s="109"/>
      <x:c r="E15" s="109"/>
      <x:c r="F15" s="109"/>
      <x:c r="G15" s="109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</x:row>
    <x:row r="16">
      <x:c r="A16" s="109"/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09"/>
      <x:c r="O16" s="109"/>
      <x:c r="P16" s="109"/>
      <x:c r="Q16" s="109"/>
    </x:row>
    <x:row r="17">
      <x:c r="A17" s="109"/>
      <x:c r="B17" s="109"/>
      <x:c r="C17" s="109"/>
      <x:c r="D17" s="109"/>
      <x:c r="E17" s="109"/>
      <x:c r="F17" s="109"/>
      <x:c r="G17" s="109"/>
      <x:c r="H17" s="109"/>
      <x:c r="I17" s="109"/>
      <x:c r="J17" s="109"/>
      <x:c r="K17" s="109"/>
      <x:c r="L17" s="109"/>
      <x:c r="M17" s="109"/>
      <x:c r="N17" s="109"/>
      <x:c r="O17" s="109"/>
      <x:c r="P17" s="109"/>
      <x:c r="Q17" s="109"/>
    </x:row>
    <x:row r="18">
      <x:c r="A18" s="109"/>
      <x:c r="B18" s="109"/>
      <x:c r="C18" s="109"/>
      <x:c r="D18" s="109"/>
      <x:c r="E18" s="109"/>
      <x:c r="F18" s="109"/>
      <x:c r="G18" s="109"/>
      <x:c r="H18" s="109"/>
      <x:c r="I18" s="109"/>
      <x:c r="J18" s="109"/>
      <x:c r="K18" s="109"/>
      <x:c r="L18" s="109"/>
      <x:c r="M18" s="109"/>
      <x:c r="N18" s="109"/>
      <x:c r="O18" s="109"/>
      <x:c r="P18" s="109"/>
      <x:c r="Q18" s="109"/>
    </x:row>
    <x:row r="19">
      <x:c r="A19" s="109"/>
      <x:c r="B19" s="109"/>
      <x:c r="C19" s="109"/>
      <x:c r="D19" s="109"/>
      <x:c r="E19" s="109"/>
      <x:c r="F19" s="109"/>
      <x:c r="G19" s="109"/>
      <x:c r="H19" s="109"/>
      <x:c r="I19" s="109"/>
      <x:c r="J19" s="109"/>
      <x:c r="K19" s="109"/>
      <x:c r="L19" s="109"/>
      <x:c r="M19" s="109"/>
      <x:c r="N19" s="109"/>
      <x:c r="O19" s="109"/>
      <x:c r="P19" s="109"/>
      <x:c r="Q19" s="109"/>
    </x:row>
    <x:row r="20">
      <x:c r="A20" s="109"/>
      <x:c r="B20" s="109"/>
      <x:c r="C20" s="109"/>
      <x:c r="D20" s="109"/>
      <x:c r="E20" s="109"/>
      <x:c r="F20" s="109"/>
      <x:c r="G20" s="109"/>
      <x:c r="H20" s="109"/>
      <x:c r="I20" s="109"/>
      <x:c r="J20" s="109"/>
      <x:c r="K20" s="109"/>
      <x:c r="L20" s="109"/>
      <x:c r="M20" s="109"/>
      <x:c r="N20" s="109"/>
      <x:c r="O20" s="109"/>
      <x:c r="P20" s="109"/>
      <x:c r="Q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  <x:c r="M21" s="109"/>
      <x:c r="N21" s="109"/>
      <x:c r="O21" s="109"/>
      <x:c r="P21" s="109"/>
      <x:c r="Q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09"/>
      <x:c r="P22" s="109"/>
      <x:c r="Q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  <x:c r="I23" s="109"/>
      <x:c r="J23" s="109"/>
      <x:c r="K23" s="109"/>
      <x:c r="L23" s="109"/>
      <x:c r="M23" s="109"/>
      <x:c r="N23" s="109"/>
      <x:c r="O23" s="109"/>
      <x:c r="P23" s="109"/>
      <x:c r="Q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  <x:c r="I24" s="109"/>
      <x:c r="J24" s="109"/>
      <x:c r="K24" s="109"/>
      <x:c r="L24" s="109"/>
      <x:c r="M24" s="109"/>
      <x:c r="N24" s="109"/>
      <x:c r="O24" s="109"/>
      <x:c r="P24" s="109"/>
      <x:c r="Q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  <x:c r="I25" s="109"/>
      <x:c r="J25" s="109"/>
      <x:c r="K25" s="109"/>
      <x:c r="L25" s="109"/>
      <x:c r="M25" s="109"/>
      <x:c r="N25" s="109"/>
      <x:c r="O25" s="109"/>
      <x:c r="P25" s="109"/>
      <x:c r="Q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  <x:c r="I26" s="109"/>
      <x:c r="J26" s="109"/>
      <x:c r="K26" s="109"/>
      <x:c r="L26" s="109"/>
      <x:c r="M26" s="109"/>
      <x:c r="N26" s="109"/>
      <x:c r="O26" s="109"/>
      <x:c r="P26" s="109"/>
      <x:c r="Q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  <x:c r="I27" s="109"/>
      <x:c r="J27" s="109"/>
      <x:c r="K27" s="109"/>
      <x:c r="L27" s="109"/>
      <x:c r="M27" s="109"/>
      <x:c r="N27" s="109"/>
      <x:c r="O27" s="109"/>
      <x:c r="P27" s="109"/>
      <x:c r="Q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  <x:c r="I28" s="109"/>
      <x:c r="J28" s="109"/>
      <x:c r="K28" s="109"/>
      <x:c r="L28" s="109"/>
      <x:c r="M28" s="109"/>
      <x:c r="N28" s="109"/>
      <x:c r="O28" s="109"/>
      <x:c r="P28" s="109"/>
      <x:c r="Q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  <x:c r="I29" s="109"/>
      <x:c r="J29" s="109"/>
      <x:c r="K29" s="109"/>
      <x:c r="L29" s="109"/>
      <x:c r="M29" s="109"/>
      <x:c r="N29" s="109"/>
      <x:c r="O29" s="109"/>
      <x:c r="P29" s="109"/>
      <x:c r="Q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  <x:c r="M30" s="109"/>
      <x:c r="N30" s="109"/>
      <x:c r="O30" s="109"/>
      <x:c r="P30" s="109"/>
      <x:c r="Q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  <x:c r="I33" s="109"/>
      <x:c r="J33" s="109"/>
      <x:c r="K33" s="109"/>
      <x:c r="L33" s="109"/>
      <x:c r="M33" s="109"/>
      <x:c r="N33" s="109"/>
      <x:c r="O33" s="109"/>
      <x:c r="P33" s="109"/>
      <x:c r="Q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  <x:c r="I34" s="109"/>
      <x:c r="J34" s="109"/>
      <x:c r="K34" s="109"/>
      <x:c r="L34" s="109"/>
      <x:c r="M34" s="109"/>
      <x:c r="N34" s="109"/>
      <x:c r="O34" s="109"/>
      <x:c r="P34" s="109"/>
      <x:c r="Q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  <x:c r="I35" s="109"/>
      <x:c r="J35" s="109"/>
      <x:c r="K35" s="109"/>
      <x:c r="L35" s="109"/>
      <x:c r="M35" s="109"/>
      <x:c r="N35" s="109"/>
      <x:c r="O35" s="109"/>
      <x:c r="P35" s="109"/>
      <x:c r="Q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  <x:c r="J36" s="109"/>
      <x:c r="K36" s="109"/>
      <x:c r="L36" s="109"/>
      <x:c r="M36" s="109"/>
      <x:c r="N36" s="109"/>
      <x:c r="O36" s="109"/>
      <x:c r="P36" s="109"/>
      <x:c r="Q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  <x:c r="I37" s="109"/>
      <x:c r="J37" s="109"/>
      <x:c r="K37" s="109"/>
      <x:c r="L37" s="109"/>
      <x:c r="M37" s="109"/>
      <x:c r="N37" s="109"/>
      <x:c r="O37" s="109"/>
      <x:c r="P37" s="109"/>
      <x:c r="Q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  <x:c r="I39" s="109"/>
      <x:c r="J39" s="109"/>
      <x:c r="K39" s="109"/>
      <x:c r="L39" s="109"/>
      <x:c r="M39" s="109"/>
      <x:c r="N39" s="109"/>
      <x:c r="O39" s="109"/>
      <x:c r="P39" s="109"/>
      <x:c r="Q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  <x:c r="I40" s="109"/>
      <x:c r="J40" s="109"/>
      <x:c r="K40" s="109"/>
      <x:c r="L40" s="109"/>
      <x:c r="M40" s="109"/>
      <x:c r="N40" s="109"/>
      <x:c r="O40" s="109"/>
      <x:c r="P40" s="109"/>
      <x:c r="Q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  <x:c r="I41" s="109"/>
      <x:c r="J41" s="109"/>
      <x:c r="K41" s="109"/>
      <x:c r="L41" s="109"/>
      <x:c r="M41" s="109"/>
      <x:c r="N41" s="109"/>
      <x:c r="O41" s="109"/>
      <x:c r="P41" s="109"/>
      <x:c r="Q41" s="109"/>
    </x:row>
    <x:row r="42">
      <x:c r="A42" s="109"/>
      <x:c r="B42" s="109"/>
      <x:c r="C42" s="109"/>
      <x:c r="D42" s="109"/>
      <x:c r="E42" s="109"/>
      <x:c r="F42" s="109"/>
      <x:c r="G42" s="109"/>
      <x:c r="H42" s="109"/>
      <x:c r="I42" s="109"/>
      <x:c r="J42" s="109"/>
      <x:c r="K42" s="109"/>
      <x:c r="L42" s="109"/>
      <x:c r="M42" s="109"/>
      <x:c r="N42" s="109"/>
      <x:c r="O42" s="109"/>
      <x:c r="P42" s="109"/>
      <x:c r="Q42" s="109"/>
    </x:row>
    <x:row r="43">
      <x:c r="A43" s="109"/>
      <x:c r="B43" s="109"/>
      <x:c r="C43" s="109"/>
      <x:c r="D43" s="109"/>
      <x:c r="E43" s="109"/>
      <x:c r="F43" s="109"/>
      <x:c r="G43" s="109"/>
      <x:c r="H43" s="109"/>
      <x:c r="I43" s="109"/>
      <x:c r="J43" s="109"/>
      <x:c r="K43" s="109"/>
      <x:c r="L43" s="109"/>
      <x:c r="M43" s="109"/>
      <x:c r="N43" s="109"/>
      <x:c r="O43" s="109"/>
      <x:c r="P43" s="109"/>
      <x:c r="Q43" s="109"/>
    </x:row>
    <x:row r="44">
      <x:c r="A44" s="109"/>
      <x:c r="B44" s="109"/>
      <x:c r="C44" s="109"/>
      <x:c r="D44" s="109"/>
      <x:c r="E44" s="109"/>
      <x:c r="F44" s="109"/>
      <x:c r="G44" s="109"/>
      <x:c r="H44" s="109"/>
      <x:c r="I44" s="109"/>
      <x:c r="J44" s="109"/>
      <x:c r="K44" s="109"/>
      <x:c r="L44" s="109"/>
      <x:c r="M44" s="109"/>
      <x:c r="N44" s="109"/>
      <x:c r="O44" s="109"/>
      <x:c r="P44" s="109"/>
      <x:c r="Q44" s="109"/>
    </x:row>
    <x:row r="45">
      <x:c r="A45" s="109"/>
      <x:c r="B45" s="109"/>
      <x:c r="C45" s="109"/>
      <x:c r="D45" s="109"/>
      <x:c r="E45" s="109"/>
      <x:c r="F45" s="109"/>
      <x:c r="G45" s="109"/>
      <x:c r="H45" s="109"/>
      <x:c r="I45" s="109"/>
      <x:c r="J45" s="109"/>
      <x:c r="K45" s="109"/>
      <x:c r="L45" s="109"/>
      <x:c r="M45" s="109"/>
      <x:c r="N45" s="109"/>
      <x:c r="O45" s="109"/>
      <x:c r="P45" s="109"/>
      <x:c r="Q45" s="109"/>
    </x:row>
    <x:row r="46">
      <x:c r="A46" s="109"/>
      <x:c r="B46" s="109"/>
      <x:c r="C46" s="109"/>
      <x:c r="D46" s="109"/>
      <x:c r="E46" s="109"/>
      <x:c r="F46" s="109"/>
      <x:c r="G46" s="109"/>
      <x:c r="H46" s="109"/>
      <x:c r="I46" s="109"/>
      <x:c r="J46" s="109"/>
      <x:c r="K46" s="109"/>
      <x:c r="L46" s="109"/>
      <x:c r="M46" s="109"/>
      <x:c r="N46" s="109"/>
      <x:c r="O46" s="109"/>
      <x:c r="P46" s="109"/>
      <x:c r="Q46" s="109"/>
    </x:row>
    <x:row r="47">
      <x:c r="A47" s="109"/>
      <x:c r="B47" s="109"/>
      <x:c r="C47" s="109"/>
      <x:c r="D47" s="109"/>
      <x:c r="E47" s="109"/>
      <x:c r="F47" s="109"/>
      <x:c r="G47" s="109"/>
      <x:c r="H47" s="109"/>
      <x:c r="I47" s="109"/>
      <x:c r="J47" s="109"/>
      <x:c r="K47" s="109"/>
      <x:c r="L47" s="109"/>
      <x:c r="M47" s="109"/>
      <x:c r="N47" s="109"/>
      <x:c r="O47" s="109"/>
      <x:c r="P47" s="109"/>
      <x:c r="Q47" s="109"/>
    </x:row>
    <x:row r="48">
      <x:c r="A48" s="109"/>
      <x:c r="B48" s="109"/>
      <x:c r="C48" s="109"/>
      <x:c r="D48" s="109"/>
      <x:c r="E48" s="109"/>
      <x:c r="F48" s="109"/>
      <x:c r="G48" s="109"/>
      <x:c r="H48" s="109"/>
      <x:c r="I48" s="109"/>
      <x:c r="J48" s="109"/>
      <x:c r="K48" s="109"/>
      <x:c r="L48" s="109"/>
      <x:c r="M48" s="109"/>
      <x:c r="N48" s="109"/>
      <x:c r="O48" s="109"/>
      <x:c r="P48" s="109"/>
      <x:c r="Q48" s="109"/>
    </x:row>
    <x:row r="49">
      <x:c r="A49" s="109"/>
      <x:c r="B49" s="109"/>
      <x:c r="C49" s="109"/>
      <x:c r="D49" s="109"/>
      <x:c r="E49" s="109"/>
      <x:c r="F49" s="109"/>
      <x:c r="G49" s="109"/>
      <x:c r="H49" s="109"/>
      <x:c r="I49" s="109"/>
      <x:c r="J49" s="109"/>
      <x:c r="K49" s="109"/>
      <x:c r="L49" s="109"/>
      <x:c r="M49" s="109"/>
      <x:c r="N49" s="109"/>
      <x:c r="O49" s="109"/>
      <x:c r="P49" s="109"/>
      <x:c r="Q49" s="109"/>
    </x:row>
    <x:row r="50">
      <x:c r="A50" s="109"/>
      <x:c r="B50" s="109"/>
      <x:c r="C50" s="109"/>
      <x:c r="D50" s="109"/>
      <x:c r="E50" s="109"/>
      <x:c r="F50" s="109"/>
      <x:c r="G50" s="109"/>
      <x:c r="H50" s="109"/>
      <x:c r="I50" s="109"/>
      <x:c r="J50" s="109"/>
      <x:c r="K50" s="109"/>
      <x:c r="L50" s="109"/>
      <x:c r="M50" s="109"/>
      <x:c r="N50" s="109"/>
      <x:c r="O50" s="109"/>
      <x:c r="P50" s="109"/>
      <x:c r="Q50" s="109"/>
    </x:row>
    <x:row r="51">
      <x:c r="A51" s="109"/>
      <x:c r="B51" s="109"/>
      <x:c r="C51" s="109"/>
      <x:c r="D51" s="109"/>
      <x:c r="E51" s="109"/>
      <x:c r="F51" s="109"/>
      <x:c r="G51" s="109"/>
      <x:c r="H51" s="109"/>
      <x:c r="I51" s="109"/>
      <x:c r="J51" s="109"/>
      <x:c r="K51" s="109"/>
      <x:c r="L51" s="109"/>
      <x:c r="M51" s="109"/>
      <x:c r="N51" s="109"/>
      <x:c r="O51" s="109"/>
      <x:c r="P51" s="109"/>
      <x:c r="Q51" s="109"/>
    </x:row>
    <x:row r="52">
      <x:c r="A52" s="109"/>
      <x:c r="B52" s="109"/>
      <x:c r="C52" s="109"/>
      <x:c r="D52" s="109"/>
      <x:c r="E52" s="109"/>
      <x:c r="F52" s="109"/>
      <x:c r="G52" s="109"/>
      <x:c r="H52" s="109"/>
      <x:c r="I52" s="109"/>
      <x:c r="J52" s="109"/>
      <x:c r="K52" s="109"/>
      <x:c r="L52" s="109"/>
      <x:c r="M52" s="109"/>
      <x:c r="N52" s="109"/>
      <x:c r="O52" s="109"/>
      <x:c r="P52" s="109"/>
      <x:c r="Q52" s="109"/>
    </x:row>
    <x:row r="53">
      <x:c r="A53" s="109"/>
      <x:c r="B53" s="109"/>
      <x:c r="C53" s="109"/>
      <x:c r="D53" s="109"/>
      <x:c r="E53" s="109"/>
      <x:c r="F53" s="109"/>
      <x:c r="G53" s="109"/>
      <x:c r="H53" s="109"/>
      <x:c r="I53" s="109"/>
      <x:c r="J53" s="109"/>
      <x:c r="K53" s="109"/>
      <x:c r="L53" s="109"/>
      <x:c r="M53" s="109"/>
      <x:c r="N53" s="109"/>
      <x:c r="O53" s="109"/>
      <x:c r="P53" s="109"/>
      <x:c r="Q53" s="109"/>
    </x:row>
    <x:row r="54">
      <x:c r="A54" s="109"/>
      <x:c r="B54" s="109"/>
      <x:c r="C54" s="109"/>
      <x:c r="D54" s="109"/>
      <x:c r="E54" s="109"/>
      <x:c r="F54" s="109"/>
      <x:c r="G54" s="109"/>
      <x:c r="H54" s="109"/>
      <x:c r="I54" s="109"/>
      <x:c r="J54" s="109"/>
      <x:c r="K54" s="109"/>
      <x:c r="L54" s="109"/>
      <x:c r="M54" s="109"/>
      <x:c r="N54" s="109"/>
      <x:c r="O54" s="109"/>
      <x:c r="P54" s="109"/>
      <x:c r="Q54" s="109"/>
    </x:row>
    <x:row r="55">
      <x:c r="A55" s="109"/>
      <x:c r="B55" s="109"/>
      <x:c r="C55" s="109"/>
      <x:c r="D55" s="109"/>
      <x:c r="E55" s="109"/>
      <x:c r="F55" s="109"/>
      <x:c r="G55" s="109"/>
      <x:c r="H55" s="109"/>
      <x:c r="I55" s="109"/>
      <x:c r="J55" s="109"/>
      <x:c r="K55" s="109"/>
      <x:c r="L55" s="109"/>
      <x:c r="M55" s="109"/>
      <x:c r="N55" s="109"/>
      <x:c r="O55" s="109"/>
      <x:c r="P55" s="109"/>
      <x:c r="Q55" s="109"/>
    </x:row>
    <x:row r="56">
      <x:c r="A56" s="109"/>
      <x:c r="B56" s="109"/>
      <x:c r="C56" s="109"/>
      <x:c r="D56" s="109"/>
      <x:c r="E56" s="109"/>
      <x:c r="F56" s="109"/>
      <x:c r="G56" s="109"/>
      <x:c r="H56" s="109"/>
      <x:c r="I56" s="109"/>
      <x:c r="J56" s="109"/>
      <x:c r="K56" s="109"/>
      <x:c r="L56" s="109"/>
      <x:c r="M56" s="109"/>
      <x:c r="N56" s="109"/>
      <x:c r="O56" s="109"/>
      <x:c r="P56" s="109"/>
      <x:c r="Q56" s="109"/>
    </x:row>
    <x:row r="57">
      <x:c r="A57" s="109"/>
      <x:c r="B57" s="109"/>
      <x:c r="C57" s="109"/>
      <x:c r="D57" s="109"/>
      <x:c r="E57" s="109"/>
      <x:c r="F57" s="109"/>
      <x:c r="G57" s="109"/>
      <x:c r="H57" s="109"/>
      <x:c r="I57" s="109"/>
      <x:c r="J57" s="109"/>
      <x:c r="K57" s="109"/>
      <x:c r="L57" s="109"/>
      <x:c r="M57" s="109"/>
      <x:c r="N57" s="109"/>
      <x:c r="O57" s="109"/>
      <x:c r="P57" s="109"/>
      <x:c r="Q57" s="109"/>
    </x:row>
    <x:row r="58">
      <x:c r="A58" s="109"/>
      <x:c r="B58" s="109"/>
      <x:c r="C58" s="109"/>
      <x:c r="D58" s="109"/>
      <x:c r="E58" s="109"/>
      <x:c r="F58" s="109"/>
      <x:c r="G58" s="109"/>
      <x:c r="H58" s="109"/>
      <x:c r="I58" s="109"/>
      <x:c r="J58" s="109"/>
      <x:c r="K58" s="109"/>
      <x:c r="L58" s="109"/>
      <x:c r="M58" s="109"/>
      <x:c r="N58" s="109"/>
      <x:c r="O58" s="109"/>
      <x:c r="P58" s="109"/>
      <x:c r="Q58" s="109"/>
    </x:row>
    <x:row r="59">
      <x:c r="A59" s="109"/>
      <x:c r="B59" s="109"/>
      <x:c r="C59" s="109"/>
      <x:c r="D59" s="109"/>
      <x:c r="E59" s="109"/>
      <x:c r="F59" s="109"/>
      <x:c r="G59" s="109"/>
      <x:c r="H59" s="109"/>
      <x:c r="I59" s="109"/>
      <x:c r="J59" s="109"/>
      <x:c r="K59" s="109"/>
      <x:c r="L59" s="109"/>
      <x:c r="M59" s="109"/>
      <x:c r="N59" s="109"/>
      <x:c r="O59" s="109"/>
      <x:c r="P59" s="109"/>
      <x:c r="Q59" s="109"/>
    </x:row>
    <x:row r="60">
      <x:c r="A60" s="109"/>
      <x:c r="B60" s="109"/>
      <x:c r="C60" s="109"/>
      <x:c r="D60" s="109"/>
      <x:c r="E60" s="109"/>
      <x:c r="F60" s="109"/>
      <x:c r="G60" s="109"/>
      <x:c r="H60" s="109"/>
      <x:c r="I60" s="109"/>
      <x:c r="J60" s="109"/>
      <x:c r="K60" s="109"/>
      <x:c r="L60" s="109"/>
      <x:c r="M60" s="109"/>
      <x:c r="N60" s="109"/>
      <x:c r="O60" s="109"/>
      <x:c r="P60" s="109"/>
      <x:c r="Q60" s="109"/>
    </x:row>
    <x:row r="61">
      <x:c r="A61" s="109"/>
      <x:c r="B61" s="109"/>
      <x:c r="C61" s="109"/>
      <x:c r="D61" s="109"/>
      <x:c r="E61" s="109"/>
      <x:c r="F61" s="109"/>
      <x:c r="G61" s="109"/>
      <x:c r="H61" s="109"/>
      <x:c r="I61" s="109"/>
      <x:c r="J61" s="109"/>
      <x:c r="K61" s="109"/>
      <x:c r="L61" s="109"/>
      <x:c r="M61" s="109"/>
      <x:c r="N61" s="109"/>
      <x:c r="O61" s="109"/>
      <x:c r="P61" s="109"/>
      <x:c r="Q61" s="109"/>
    </x:row>
    <x:row r="62">
      <x:c r="A62" s="109"/>
      <x:c r="B62" s="109"/>
      <x:c r="C62" s="109"/>
      <x:c r="D62" s="109"/>
      <x:c r="E62" s="109"/>
      <x:c r="F62" s="109"/>
      <x:c r="G62" s="109"/>
      <x:c r="H62" s="109"/>
      <x:c r="I62" s="109"/>
      <x:c r="J62" s="109"/>
      <x:c r="K62" s="109"/>
      <x:c r="L62" s="109"/>
      <x:c r="M62" s="109"/>
      <x:c r="N62" s="109"/>
      <x:c r="O62" s="109"/>
      <x:c r="P62" s="109"/>
      <x:c r="Q62" s="109"/>
    </x:row>
    <x:row r="63">
      <x:c r="A63" s="109"/>
      <x:c r="B63" s="109"/>
      <x:c r="C63" s="109"/>
      <x:c r="D63" s="109"/>
      <x:c r="E63" s="109"/>
      <x:c r="F63" s="109"/>
      <x:c r="G63" s="109"/>
      <x:c r="H63" s="109"/>
      <x:c r="I63" s="109"/>
      <x:c r="J63" s="109"/>
      <x:c r="K63" s="109"/>
      <x:c r="L63" s="109"/>
      <x:c r="M63" s="109"/>
      <x:c r="N63" s="109"/>
      <x:c r="O63" s="109"/>
      <x:c r="P63" s="109"/>
      <x:c r="Q63" s="109"/>
    </x:row>
    <x:row r="64">
      <x:c r="A64" s="109"/>
      <x:c r="B64" s="109"/>
      <x:c r="C64" s="109"/>
      <x:c r="D64" s="109"/>
      <x:c r="E64" s="109"/>
      <x:c r="F64" s="109"/>
      <x:c r="G64" s="109"/>
      <x:c r="H64" s="109"/>
      <x:c r="I64" s="109"/>
      <x:c r="J64" s="109"/>
      <x:c r="K64" s="109"/>
      <x:c r="L64" s="109"/>
      <x:c r="M64" s="109"/>
      <x:c r="N64" s="109"/>
      <x:c r="O64" s="109"/>
      <x:c r="P64" s="109"/>
      <x:c r="Q64" s="109"/>
    </x:row>
    <x:row r="65">
      <x:c r="A65" s="109"/>
      <x:c r="B65" s="109"/>
      <x:c r="C65" s="109"/>
      <x:c r="D65" s="109"/>
      <x:c r="E65" s="109"/>
      <x:c r="F65" s="109"/>
      <x:c r="G65" s="109"/>
      <x:c r="H65" s="109"/>
      <x:c r="I65" s="109"/>
      <x:c r="J65" s="109"/>
      <x:c r="K65" s="109"/>
      <x:c r="L65" s="109"/>
      <x:c r="M65" s="109"/>
      <x:c r="N65" s="109"/>
      <x:c r="O65" s="109"/>
      <x:c r="P65" s="109"/>
      <x:c r="Q65" s="109"/>
    </x:row>
    <x:row r="66">
      <x:c r="A66" s="109"/>
      <x:c r="B66" s="109"/>
      <x:c r="C66" s="109"/>
      <x:c r="D66" s="109"/>
      <x:c r="E66" s="109"/>
      <x:c r="F66" s="109"/>
      <x:c r="G66" s="109"/>
      <x:c r="H66" s="109"/>
      <x:c r="I66" s="109"/>
      <x:c r="J66" s="109"/>
      <x:c r="K66" s="109"/>
      <x:c r="L66" s="109"/>
      <x:c r="M66" s="109"/>
      <x:c r="N66" s="109"/>
      <x:c r="O66" s="109"/>
      <x:c r="P66" s="109"/>
      <x:c r="Q66" s="109"/>
    </x:row>
    <x:row r="67">
      <x:c r="A67" s="109"/>
      <x:c r="B67" s="109"/>
      <x:c r="C67" s="109"/>
      <x:c r="D67" s="109"/>
      <x:c r="E67" s="109"/>
      <x:c r="F67" s="109"/>
      <x:c r="G67" s="109"/>
      <x:c r="H67" s="109"/>
      <x:c r="I67" s="109"/>
      <x:c r="J67" s="109"/>
      <x:c r="K67" s="109"/>
      <x:c r="L67" s="109"/>
      <x:c r="M67" s="109"/>
      <x:c r="N67" s="109"/>
      <x:c r="O67" s="109"/>
      <x:c r="P67" s="109"/>
      <x:c r="Q67" s="109"/>
    </x:row>
    <x:row r="68">
      <x:c r="A68" s="109"/>
      <x:c r="B68" s="109"/>
      <x:c r="C68" s="109"/>
      <x:c r="D68" s="109"/>
      <x:c r="E68" s="109"/>
      <x:c r="F68" s="109"/>
      <x:c r="G68" s="109"/>
      <x:c r="H68" s="109"/>
      <x:c r="I68" s="109"/>
      <x:c r="J68" s="109"/>
      <x:c r="K68" s="109"/>
      <x:c r="L68" s="109"/>
      <x:c r="M68" s="109"/>
      <x:c r="N68" s="109"/>
      <x:c r="O68" s="109"/>
      <x:c r="P68" s="109"/>
      <x:c r="Q68" s="109"/>
    </x:row>
    <x:row r="69">
      <x:c r="A69" s="109"/>
      <x:c r="B69" s="109"/>
      <x:c r="C69" s="109"/>
      <x:c r="D69" s="109"/>
      <x:c r="E69" s="109"/>
      <x:c r="F69" s="109"/>
      <x:c r="G69" s="109"/>
      <x:c r="H69" s="109"/>
      <x:c r="I69" s="109"/>
      <x:c r="J69" s="109"/>
      <x:c r="K69" s="109"/>
      <x:c r="L69" s="109"/>
      <x:c r="M69" s="109"/>
      <x:c r="N69" s="109"/>
      <x:c r="O69" s="109"/>
      <x:c r="P69" s="109"/>
      <x:c r="Q69" s="109"/>
    </x:row>
    <x:row r="70">
      <x:c r="A70" s="109"/>
      <x:c r="B70" s="109"/>
      <x:c r="C70" s="109"/>
      <x:c r="D70" s="109"/>
      <x:c r="E70" s="109"/>
      <x:c r="F70" s="109"/>
      <x:c r="G70" s="109"/>
      <x:c r="H70" s="109"/>
      <x:c r="I70" s="109"/>
      <x:c r="J70" s="109"/>
      <x:c r="K70" s="109"/>
      <x:c r="L70" s="109"/>
      <x:c r="M70" s="109"/>
      <x:c r="N70" s="109"/>
      <x:c r="O70" s="109"/>
      <x:c r="P70" s="109"/>
      <x:c r="Q70" s="109"/>
    </x:row>
    <x:row r="71">
      <x:c r="A71" s="109"/>
      <x:c r="B71" s="109"/>
      <x:c r="C71" s="109"/>
      <x:c r="D71" s="109"/>
      <x:c r="E71" s="109"/>
      <x:c r="F71" s="109"/>
      <x:c r="G71" s="109"/>
      <x:c r="H71" s="109"/>
      <x:c r="I71" s="109"/>
      <x:c r="J71" s="109"/>
      <x:c r="K71" s="109"/>
      <x:c r="L71" s="109"/>
      <x:c r="M71" s="109"/>
      <x:c r="N71" s="109"/>
      <x:c r="O71" s="109"/>
      <x:c r="P71" s="109"/>
      <x:c r="Q71" s="109"/>
    </x:row>
    <x:row r="72">
      <x:c r="A72" s="109"/>
      <x:c r="B72" s="109"/>
      <x:c r="C72" s="109"/>
      <x:c r="D72" s="109"/>
      <x:c r="E72" s="109"/>
      <x:c r="F72" s="109"/>
      <x:c r="G72" s="109"/>
      <x:c r="H72" s="109"/>
      <x:c r="I72" s="109"/>
      <x:c r="J72" s="109"/>
      <x:c r="K72" s="109"/>
      <x:c r="L72" s="109"/>
      <x:c r="M72" s="109"/>
      <x:c r="N72" s="109"/>
      <x:c r="O72" s="109"/>
      <x:c r="P72" s="109"/>
      <x:c r="Q72" s="109"/>
    </x:row>
    <x:row r="73">
      <x:c r="A73" s="109"/>
      <x:c r="B73" s="109"/>
      <x:c r="C73" s="109"/>
      <x:c r="D73" s="109"/>
      <x:c r="E73" s="109"/>
      <x:c r="F73" s="109"/>
      <x:c r="G73" s="109"/>
      <x:c r="H73" s="109"/>
      <x:c r="I73" s="109"/>
      <x:c r="J73" s="109"/>
      <x:c r="K73" s="109"/>
      <x:c r="L73" s="109"/>
      <x:c r="M73" s="109"/>
      <x:c r="N73" s="109"/>
      <x:c r="O73" s="109"/>
      <x:c r="P73" s="109"/>
      <x:c r="Q73" s="109"/>
    </x:row>
    <x:row r="74">
      <x:c r="A74" s="109"/>
      <x:c r="B74" s="109"/>
      <x:c r="C74" s="109"/>
      <x:c r="D74" s="109"/>
      <x:c r="E74" s="109"/>
      <x:c r="F74" s="109"/>
      <x:c r="G74" s="109"/>
      <x:c r="H74" s="109"/>
      <x:c r="I74" s="109"/>
      <x:c r="J74" s="109"/>
      <x:c r="K74" s="109"/>
      <x:c r="L74" s="109"/>
      <x:c r="M74" s="109"/>
      <x:c r="N74" s="109"/>
      <x:c r="O74" s="109"/>
      <x:c r="P74" s="109"/>
      <x:c r="Q74" s="109"/>
    </x:row>
    <x:row r="75">
      <x:c r="A75" s="109"/>
      <x:c r="B75" s="109"/>
      <x:c r="C75" s="109"/>
      <x:c r="D75" s="109"/>
      <x:c r="E75" s="109"/>
      <x:c r="F75" s="109"/>
      <x:c r="G75" s="109"/>
      <x:c r="H75" s="109"/>
      <x:c r="I75" s="109"/>
      <x:c r="J75" s="109"/>
      <x:c r="K75" s="109"/>
      <x:c r="L75" s="109"/>
      <x:c r="M75" s="109"/>
      <x:c r="N75" s="109"/>
      <x:c r="O75" s="109"/>
      <x:c r="P75" s="109"/>
      <x:c r="Q75" s="109"/>
    </x:row>
    <x:row r="76">
      <x:c r="A76" s="109"/>
      <x:c r="B76" s="109"/>
      <x:c r="C76" s="109"/>
      <x:c r="D76" s="109"/>
      <x:c r="E76" s="109"/>
      <x:c r="F76" s="109"/>
      <x:c r="G76" s="109"/>
      <x:c r="H76" s="109"/>
      <x:c r="I76" s="109"/>
      <x:c r="J76" s="109"/>
      <x:c r="K76" s="109"/>
      <x:c r="L76" s="109"/>
      <x:c r="M76" s="109"/>
      <x:c r="N76" s="109"/>
      <x:c r="O76" s="109"/>
      <x:c r="P76" s="109"/>
      <x:c r="Q76" s="109"/>
    </x:row>
    <x:row r="77">
      <x:c r="A77" s="109"/>
      <x:c r="B77" s="109"/>
      <x:c r="C77" s="109"/>
      <x:c r="D77" s="109"/>
      <x:c r="E77" s="109"/>
      <x:c r="F77" s="109"/>
      <x:c r="G77" s="109"/>
      <x:c r="H77" s="109"/>
      <x:c r="I77" s="109"/>
      <x:c r="J77" s="109"/>
      <x:c r="K77" s="109"/>
      <x:c r="L77" s="109"/>
      <x:c r="M77" s="109"/>
      <x:c r="N77" s="109"/>
      <x:c r="O77" s="109"/>
      <x:c r="P77" s="109"/>
      <x:c r="Q77" s="109"/>
    </x:row>
    <x:row r="78">
      <x:c r="A78" s="109"/>
      <x:c r="B78" s="109"/>
      <x:c r="C78" s="109"/>
      <x:c r="D78" s="109"/>
      <x:c r="E78" s="109"/>
      <x:c r="F78" s="109"/>
      <x:c r="G78" s="109"/>
      <x:c r="H78" s="109"/>
      <x:c r="I78" s="109"/>
      <x:c r="J78" s="109"/>
      <x:c r="K78" s="109"/>
      <x:c r="L78" s="109"/>
      <x:c r="M78" s="109"/>
      <x:c r="N78" s="109"/>
      <x:c r="O78" s="109"/>
      <x:c r="P78" s="109"/>
      <x:c r="Q78" s="109"/>
    </x:row>
    <x:row r="79">
      <x:c r="A79" s="109"/>
      <x:c r="B79" s="109"/>
      <x:c r="C79" s="109"/>
      <x:c r="D79" s="109"/>
      <x:c r="E79" s="109"/>
      <x:c r="F79" s="109"/>
      <x:c r="G79" s="109"/>
      <x:c r="H79" s="109"/>
      <x:c r="I79" s="109"/>
      <x:c r="J79" s="109"/>
      <x:c r="K79" s="109"/>
      <x:c r="L79" s="109"/>
      <x:c r="M79" s="109"/>
      <x:c r="N79" s="109"/>
      <x:c r="O79" s="109"/>
      <x:c r="P79" s="109"/>
      <x:c r="Q79" s="109"/>
    </x:row>
    <x:row r="80">
      <x:c r="A80" s="109"/>
      <x:c r="B80" s="109"/>
      <x:c r="C80" s="109"/>
      <x:c r="D80" s="109"/>
      <x:c r="E80" s="109"/>
      <x:c r="F80" s="109"/>
      <x:c r="G80" s="109"/>
      <x:c r="H80" s="109"/>
      <x:c r="I80" s="109"/>
      <x:c r="J80" s="109"/>
      <x:c r="K80" s="109"/>
      <x:c r="L80" s="109"/>
      <x:c r="M80" s="109"/>
      <x:c r="N80" s="109"/>
      <x:c r="O80" s="109"/>
      <x:c r="P80" s="109"/>
      <x:c r="Q80" s="109"/>
    </x:row>
    <x:row r="81">
      <x:c r="A81" s="109"/>
      <x:c r="B81" s="109"/>
      <x:c r="C81" s="109"/>
      <x:c r="D81" s="109"/>
      <x:c r="E81" s="109"/>
      <x:c r="F81" s="109"/>
      <x:c r="G81" s="109"/>
      <x:c r="H81" s="109"/>
      <x:c r="I81" s="109"/>
      <x:c r="J81" s="109"/>
      <x:c r="K81" s="109"/>
      <x:c r="L81" s="109"/>
      <x:c r="M81" s="109"/>
      <x:c r="N81" s="109"/>
      <x:c r="O81" s="109"/>
      <x:c r="P81" s="109"/>
      <x:c r="Q81" s="109"/>
    </x:row>
    <x:row r="82">
      <x:c r="A82" s="109"/>
      <x:c r="B82" s="109"/>
      <x:c r="C82" s="109"/>
      <x:c r="D82" s="109"/>
      <x:c r="E82" s="109"/>
      <x:c r="F82" s="109"/>
      <x:c r="G82" s="109"/>
      <x:c r="H82" s="109"/>
      <x:c r="I82" s="109"/>
      <x:c r="J82" s="109"/>
      <x:c r="K82" s="109"/>
      <x:c r="L82" s="109"/>
      <x:c r="M82" s="109"/>
      <x:c r="N82" s="109"/>
      <x:c r="O82" s="109"/>
      <x:c r="P82" s="109"/>
      <x:c r="Q82" s="109"/>
    </x:row>
    <x:row r="83">
      <x:c r="A83" s="109"/>
      <x:c r="B83" s="109"/>
      <x:c r="C83" s="109"/>
      <x:c r="D83" s="109"/>
      <x:c r="E83" s="109"/>
      <x:c r="F83" s="109"/>
      <x:c r="G83" s="109"/>
      <x:c r="H83" s="109"/>
      <x:c r="I83" s="109"/>
      <x:c r="J83" s="109"/>
      <x:c r="K83" s="109"/>
      <x:c r="L83" s="109"/>
      <x:c r="M83" s="109"/>
      <x:c r="N83" s="109"/>
      <x:c r="O83" s="109"/>
      <x:c r="P83" s="109"/>
      <x:c r="Q83" s="109"/>
    </x:row>
    <x:row r="84">
      <x:c r="A84" s="109"/>
      <x:c r="B84" s="109"/>
      <x:c r="C84" s="109"/>
      <x:c r="D84" s="109"/>
      <x:c r="E84" s="109"/>
      <x:c r="F84" s="109"/>
      <x:c r="G84" s="109"/>
      <x:c r="H84" s="109"/>
      <x:c r="I84" s="109"/>
      <x:c r="J84" s="109"/>
      <x:c r="K84" s="109"/>
      <x:c r="L84" s="109"/>
      <x:c r="M84" s="109"/>
      <x:c r="N84" s="109"/>
      <x:c r="O84" s="109"/>
      <x:c r="P84" s="109"/>
      <x:c r="Q84" s="109"/>
    </x:row>
    <x:row r="85">
      <x:c r="A85" s="109"/>
      <x:c r="B85" s="109"/>
      <x:c r="C85" s="109"/>
      <x:c r="D85" s="109"/>
      <x:c r="E85" s="109"/>
      <x:c r="F85" s="109"/>
      <x:c r="G85" s="109"/>
      <x:c r="H85" s="109"/>
      <x:c r="I85" s="109"/>
      <x:c r="J85" s="109"/>
      <x:c r="K85" s="109"/>
      <x:c r="L85" s="109"/>
      <x:c r="M85" s="109"/>
      <x:c r="N85" s="109"/>
      <x:c r="O85" s="109"/>
      <x:c r="P85" s="109"/>
      <x:c r="Q85" s="109"/>
    </x:row>
    <x:row r="86">
      <x:c r="A86" s="109"/>
      <x:c r="B86" s="109"/>
      <x:c r="C86" s="109"/>
      <x:c r="D86" s="109"/>
      <x:c r="E86" s="109"/>
      <x:c r="F86" s="109"/>
      <x:c r="G86" s="109"/>
      <x:c r="H86" s="109"/>
      <x:c r="I86" s="109"/>
      <x:c r="J86" s="109"/>
      <x:c r="K86" s="109"/>
      <x:c r="L86" s="109"/>
      <x:c r="M86" s="109"/>
      <x:c r="N86" s="109"/>
      <x:c r="O86" s="109"/>
      <x:c r="P86" s="109"/>
      <x:c r="Q86" s="109"/>
    </x:row>
    <x:row r="87">
      <x:c r="A87" s="109"/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09"/>
      <x:c r="O87" s="109"/>
      <x:c r="P87" s="109"/>
      <x:c r="Q87" s="109"/>
    </x:row>
    <x:row r="88">
      <x:c r="A88" s="109"/>
      <x:c r="B88" s="109"/>
      <x:c r="C88" s="109"/>
      <x:c r="D88" s="109"/>
      <x:c r="E88" s="109"/>
      <x:c r="F88" s="109"/>
      <x:c r="G88" s="109"/>
      <x:c r="H88" s="109"/>
      <x:c r="I88" s="109"/>
      <x:c r="J88" s="109"/>
      <x:c r="K88" s="109"/>
      <x:c r="L88" s="109"/>
      <x:c r="M88" s="109"/>
      <x:c r="N88" s="109"/>
      <x:c r="O88" s="109"/>
      <x:c r="P88" s="109"/>
      <x:c r="Q88" s="109"/>
    </x:row>
    <x:row r="89">
      <x:c r="A89" s="109"/>
      <x:c r="B89" s="109"/>
      <x:c r="C89" s="109"/>
      <x:c r="D89" s="109"/>
      <x:c r="E89" s="109"/>
      <x:c r="F89" s="109"/>
      <x:c r="G89" s="109"/>
      <x:c r="H89" s="109"/>
      <x:c r="I89" s="109"/>
      <x:c r="J89" s="109"/>
      <x:c r="K89" s="109"/>
      <x:c r="L89" s="109"/>
      <x:c r="M89" s="109"/>
      <x:c r="N89" s="109"/>
      <x:c r="O89" s="109"/>
      <x:c r="P89" s="109"/>
      <x:c r="Q89" s="109"/>
    </x:row>
    <x:row r="90">
      <x:c r="A90" s="109"/>
      <x:c r="B90" s="109"/>
      <x:c r="C90" s="109"/>
      <x:c r="D90" s="109"/>
      <x:c r="E90" s="109"/>
      <x:c r="F90" s="109"/>
      <x:c r="G90" s="109"/>
      <x:c r="H90" s="109"/>
      <x:c r="I90" s="109"/>
      <x:c r="J90" s="109"/>
      <x:c r="K90" s="109"/>
      <x:c r="L90" s="109"/>
      <x:c r="M90" s="109"/>
      <x:c r="N90" s="109"/>
      <x:c r="O90" s="109"/>
      <x:c r="P90" s="109"/>
      <x:c r="Q90" s="109"/>
    </x:row>
    <x:row r="91">
      <x:c r="A91" s="109"/>
      <x:c r="B91" s="109"/>
      <x:c r="C91" s="109"/>
      <x:c r="D91" s="109"/>
      <x:c r="E91" s="109"/>
      <x:c r="F91" s="109"/>
      <x:c r="G91" s="109"/>
      <x:c r="H91" s="109"/>
      <x:c r="I91" s="109"/>
      <x:c r="J91" s="109"/>
      <x:c r="K91" s="109"/>
      <x:c r="L91" s="109"/>
      <x:c r="M91" s="109"/>
      <x:c r="N91" s="109"/>
      <x:c r="O91" s="109"/>
      <x:c r="P91" s="109"/>
      <x:c r="Q91" s="109"/>
    </x:row>
    <x:row r="92">
      <x:c r="A92" s="109"/>
      <x:c r="B92" s="109"/>
      <x:c r="C92" s="109"/>
      <x:c r="D92" s="109"/>
      <x:c r="E92" s="109"/>
      <x:c r="F92" s="109"/>
      <x:c r="G92" s="109"/>
      <x:c r="H92" s="109"/>
      <x:c r="I92" s="109"/>
      <x:c r="J92" s="109"/>
      <x:c r="K92" s="109"/>
      <x:c r="L92" s="109"/>
      <x:c r="M92" s="109"/>
      <x:c r="N92" s="109"/>
      <x:c r="O92" s="109"/>
      <x:c r="P92" s="109"/>
      <x:c r="Q92" s="109"/>
    </x:row>
    <x:row r="93">
      <x:c r="A93" s="109"/>
      <x:c r="B93" s="109"/>
      <x:c r="C93" s="109"/>
      <x:c r="D93" s="109"/>
      <x:c r="E93" s="109"/>
      <x:c r="F93" s="109"/>
      <x:c r="G93" s="109"/>
      <x:c r="H93" s="109"/>
      <x:c r="I93" s="109"/>
      <x:c r="J93" s="109"/>
      <x:c r="K93" s="109"/>
      <x:c r="L93" s="109"/>
      <x:c r="M93" s="109"/>
      <x:c r="N93" s="109"/>
      <x:c r="O93" s="109"/>
      <x:c r="P93" s="109"/>
      <x:c r="Q93" s="109"/>
    </x:row>
    <x:row r="94">
      <x:c r="A94" s="109"/>
      <x:c r="B94" s="109"/>
      <x:c r="C94" s="109"/>
      <x:c r="D94" s="109"/>
      <x:c r="E94" s="109"/>
      <x:c r="F94" s="109"/>
      <x:c r="G94" s="109"/>
      <x:c r="H94" s="109"/>
      <x:c r="I94" s="109"/>
      <x:c r="J94" s="109"/>
      <x:c r="K94" s="109"/>
      <x:c r="L94" s="109"/>
      <x:c r="M94" s="109"/>
      <x:c r="N94" s="109"/>
      <x:c r="O94" s="109"/>
      <x:c r="P94" s="109"/>
      <x:c r="Q94" s="109"/>
    </x:row>
    <x:row r="95">
      <x:c r="A95" s="109"/>
      <x:c r="B95" s="109"/>
      <x:c r="C95" s="109"/>
      <x:c r="D95" s="109"/>
      <x:c r="E95" s="109"/>
      <x:c r="F95" s="109"/>
      <x:c r="G95" s="109"/>
      <x:c r="H95" s="109"/>
      <x:c r="I95" s="109"/>
      <x:c r="J95" s="109"/>
      <x:c r="K95" s="109"/>
      <x:c r="L95" s="109"/>
      <x:c r="M95" s="109"/>
      <x:c r="N95" s="109"/>
      <x:c r="O95" s="109"/>
      <x:c r="P95" s="109"/>
      <x:c r="Q95" s="109"/>
    </x:row>
    <x:row r="96">
      <x:c r="A96" s="109"/>
      <x:c r="B96" s="109"/>
      <x:c r="C96" s="109"/>
      <x:c r="D96" s="109"/>
      <x:c r="E96" s="109"/>
      <x:c r="F96" s="109"/>
      <x:c r="G96" s="109"/>
      <x:c r="H96" s="109"/>
      <x:c r="I96" s="109"/>
      <x:c r="J96" s="109"/>
      <x:c r="K96" s="109"/>
      <x:c r="L96" s="109"/>
      <x:c r="M96" s="109"/>
      <x:c r="N96" s="109"/>
      <x:c r="O96" s="109"/>
      <x:c r="P96" s="109"/>
      <x:c r="Q96" s="109"/>
    </x:row>
    <x:row r="97">
      <x:c r="A97" s="109"/>
      <x:c r="B97" s="109"/>
      <x:c r="C97" s="109"/>
      <x:c r="D97" s="109"/>
      <x:c r="E97" s="109"/>
      <x:c r="F97" s="109"/>
      <x:c r="G97" s="109"/>
      <x:c r="H97" s="109"/>
      <x:c r="I97" s="109"/>
      <x:c r="J97" s="109"/>
      <x:c r="K97" s="109"/>
      <x:c r="L97" s="109"/>
      <x:c r="M97" s="109"/>
      <x:c r="N97" s="109"/>
      <x:c r="O97" s="109"/>
      <x:c r="P97" s="109"/>
      <x:c r="Q97" s="109"/>
    </x:row>
    <x:row r="98">
      <x:c r="A98" s="109"/>
      <x:c r="B98" s="109"/>
      <x:c r="C98" s="109"/>
      <x:c r="D98" s="109"/>
      <x:c r="E98" s="109"/>
      <x:c r="F98" s="109"/>
      <x:c r="G98" s="109"/>
      <x:c r="H98" s="109"/>
      <x:c r="I98" s="109"/>
      <x:c r="J98" s="109"/>
      <x:c r="K98" s="109"/>
      <x:c r="L98" s="109"/>
      <x:c r="M98" s="109"/>
      <x:c r="N98" s="109"/>
      <x:c r="O98" s="109"/>
      <x:c r="P98" s="109"/>
      <x:c r="Q98" s="109"/>
    </x:row>
    <x:row r="99">
      <x:c r="A99" s="109"/>
      <x:c r="B99" s="109"/>
      <x:c r="C99" s="109"/>
      <x:c r="D99" s="109"/>
      <x:c r="E99" s="109"/>
      <x:c r="F99" s="109"/>
      <x:c r="G99" s="109"/>
      <x:c r="H99" s="109"/>
      <x:c r="I99" s="109"/>
      <x:c r="J99" s="109"/>
      <x:c r="K99" s="109"/>
      <x:c r="L99" s="109"/>
      <x:c r="M99" s="109"/>
      <x:c r="N99" s="109"/>
      <x:c r="O99" s="109"/>
      <x:c r="P99" s="109"/>
      <x:c r="Q99" s="109"/>
    </x:row>
    <x:row r="100">
      <x:c r="A100" s="109"/>
      <x:c r="B100" s="109"/>
      <x:c r="C100" s="109"/>
      <x:c r="D100" s="109"/>
      <x:c r="E100" s="109"/>
      <x:c r="F100" s="109"/>
      <x:c r="G100" s="109"/>
      <x:c r="H100" s="109"/>
      <x:c r="I100" s="109"/>
      <x:c r="J100" s="109"/>
      <x:c r="K100" s="109"/>
      <x:c r="L100" s="109"/>
      <x:c r="M100" s="109"/>
      <x:c r="N100" s="109"/>
      <x:c r="O100" s="109"/>
      <x:c r="P100" s="109"/>
      <x:c r="Q100" s="109"/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0be2547aa1aa40bf"/>
  </x:tableParts>
</x:worksheet>
</file>